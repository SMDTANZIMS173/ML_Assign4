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dta\Downloads\"/>
    </mc:Choice>
  </mc:AlternateContent>
  <xr:revisionPtr revIDLastSave="0" documentId="8_{51E53F04-A5E2-40A8-B914-BE4128F8CD6C}" xr6:coauthVersionLast="47" xr6:coauthVersionMax="47" xr10:uidLastSave="{00000000-0000-0000-0000-000000000000}"/>
  <bookViews>
    <workbookView xWindow="-108" yWindow="-108" windowWidth="23256" windowHeight="12456" activeTab="1" xr2:uid="{C6BBDDFA-5002-4A0D-A698-7ED621E902A6}"/>
  </bookViews>
  <sheets>
    <sheet name="Assign1" sheetId="1" r:id="rId1"/>
    <sheet name="Assign2" sheetId="2" r:id="rId2"/>
  </sheets>
  <calcPr calcId="191029"/>
  <pivotCaches>
    <pivotCache cacheId="4" r:id="rId3"/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8" i="2"/>
  <c r="N29" i="2"/>
  <c r="N30" i="2"/>
  <c r="N31" i="2"/>
  <c r="N32" i="2"/>
  <c r="N33" i="2"/>
  <c r="N34" i="2"/>
  <c r="N3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N27" i="2" s="1"/>
  <c r="L28" i="2"/>
  <c r="L29" i="2"/>
  <c r="L30" i="2"/>
  <c r="L31" i="2"/>
  <c r="L32" i="2"/>
  <c r="L33" i="2"/>
  <c r="L34" i="2"/>
  <c r="L35" i="2"/>
  <c r="L36" i="2"/>
  <c r="N36" i="2" s="1"/>
  <c r="L2" i="2"/>
  <c r="N2" i="1" a="1"/>
  <c r="N2" i="1" s="1"/>
  <c r="M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<sst xmlns="http://schemas.openxmlformats.org/spreadsheetml/2006/main" count="283" uniqueCount="159">
  <si>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</si>
  <si>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</si>
  <si>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</si>
  <si>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</si>
  <si>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</si>
  <si>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</si>
  <si>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</si>
  <si>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</si>
  <si>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</si>
  <si>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</si>
  <si>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</si>
  <si>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</si>
  <si>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</si>
  <si>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</si>
  <si>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</si>
  <si>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</si>
  <si>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</si>
  <si>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</si>
  <si>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</si>
  <si>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</si>
  <si>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</si>
  <si>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</si>
  <si>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</si>
  <si>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</si>
  <si>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</si>
  <si>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</si>
  <si>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</si>
  <si>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</si>
  <si>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</si>
  <si>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</si>
  <si>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</si>
  <si>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</si>
  <si>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</si>
  <si>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</si>
  <si>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</si>
  <si>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</si>
  <si>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</si>
  <si>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Product Efficiency Index</t>
  </si>
  <si>
    <t>Correlation between Hours and Rating</t>
  </si>
  <si>
    <t>Correlation between Tasks and Rating</t>
  </si>
  <si>
    <t>Tasks_per_hour</t>
  </si>
  <si>
    <t>Neeraj from Marketing department is most efficient employee</t>
  </si>
  <si>
    <t>Full_Name</t>
  </si>
  <si>
    <t>Age</t>
  </si>
  <si>
    <t>Gender</t>
  </si>
  <si>
    <t>Membership_Type</t>
  </si>
  <si>
    <t>Start_Date</t>
  </si>
  <si>
    <t>End_Date</t>
  </si>
  <si>
    <t>Monthly_Fee</t>
  </si>
  <si>
    <t>Attendance</t>
  </si>
  <si>
    <t>City</t>
  </si>
  <si>
    <t>Referred_By</t>
  </si>
  <si>
    <t>M001</t>
  </si>
  <si>
    <t>Anay Shanker</t>
  </si>
  <si>
    <t>Male</t>
  </si>
  <si>
    <t>Basic</t>
  </si>
  <si>
    <t>Bengaluru</t>
  </si>
  <si>
    <t>Hiran Shan</t>
  </si>
  <si>
    <t>M002</t>
  </si>
  <si>
    <t>Parinaaz Shanker</t>
  </si>
  <si>
    <t>Pune</t>
  </si>
  <si>
    <t>Kiara Kakar</t>
  </si>
  <si>
    <t>M003</t>
  </si>
  <si>
    <t>Aniruddh Batra</t>
  </si>
  <si>
    <t>Standard</t>
  </si>
  <si>
    <t>Hyderabad</t>
  </si>
  <si>
    <t>Jhanvi Chaudhary</t>
  </si>
  <si>
    <t>M004</t>
  </si>
  <si>
    <t>Madhup Kapur</t>
  </si>
  <si>
    <t>Female</t>
  </si>
  <si>
    <t>Tara Swaminathan</t>
  </si>
  <si>
    <t>M005</t>
  </si>
  <si>
    <t>Rasha Kakar</t>
  </si>
  <si>
    <t>Family</t>
  </si>
  <si>
    <t>Madhav Singh</t>
  </si>
  <si>
    <t>M006</t>
  </si>
  <si>
    <t>Ehsaan Batra</t>
  </si>
  <si>
    <t>Mumbai</t>
  </si>
  <si>
    <t>Shray Ramakrishnan</t>
  </si>
  <si>
    <t>M007</t>
  </si>
  <si>
    <t>Zara Bains</t>
  </si>
  <si>
    <t>M008</t>
  </si>
  <si>
    <t>Uthkarsh Baral</t>
  </si>
  <si>
    <t>Premium</t>
  </si>
  <si>
    <t>Kolkata</t>
  </si>
  <si>
    <t>M009</t>
  </si>
  <si>
    <t>Kashvi Char</t>
  </si>
  <si>
    <t>Nitara Comar</t>
  </si>
  <si>
    <t>M010</t>
  </si>
  <si>
    <t>Dhanush Varma</t>
  </si>
  <si>
    <t>Ranbir Karan</t>
  </si>
  <si>
    <t>M011</t>
  </si>
  <si>
    <t>Ishaan Goyal</t>
  </si>
  <si>
    <t>Rati Sanghvi</t>
  </si>
  <si>
    <t>M012</t>
  </si>
  <si>
    <t>Mahika Ravi</t>
  </si>
  <si>
    <t>Ishaan Kashyap</t>
  </si>
  <si>
    <t>M013</t>
  </si>
  <si>
    <t>Purab Reddy</t>
  </si>
  <si>
    <t>M014</t>
  </si>
  <si>
    <t>Tiya Soni</t>
  </si>
  <si>
    <t>M015</t>
  </si>
  <si>
    <t>Zara Dugar</t>
  </si>
  <si>
    <t>M016</t>
  </si>
  <si>
    <t>Lakshit Mander</t>
  </si>
  <si>
    <t>M017</t>
  </si>
  <si>
    <t>Neysa Krish</t>
  </si>
  <si>
    <t>M018</t>
  </si>
  <si>
    <t>Prerak Boase</t>
  </si>
  <si>
    <t>Delhi</t>
  </si>
  <si>
    <t>M019</t>
  </si>
  <si>
    <t>Siya Master</t>
  </si>
  <si>
    <t>M020</t>
  </si>
  <si>
    <t>Madhup Biswas</t>
  </si>
  <si>
    <t>Tanya Bajwa</t>
  </si>
  <si>
    <t>M021</t>
  </si>
  <si>
    <t>Indrans Ratti</t>
  </si>
  <si>
    <t>M022</t>
  </si>
  <si>
    <t>Kimaya Balay</t>
  </si>
  <si>
    <t>M023</t>
  </si>
  <si>
    <t>Eva Dass</t>
  </si>
  <si>
    <t>M024</t>
  </si>
  <si>
    <t>Pihu Wali</t>
  </si>
  <si>
    <t>M025</t>
  </si>
  <si>
    <t>Tiya Rege</t>
  </si>
  <si>
    <t>Adira Brar</t>
  </si>
  <si>
    <t>M026</t>
  </si>
  <si>
    <t>Aarav Sen</t>
  </si>
  <si>
    <t>M027</t>
  </si>
  <si>
    <t>Dishani Bera</t>
  </si>
  <si>
    <t>M028</t>
  </si>
  <si>
    <t>Indrans Grover</t>
  </si>
  <si>
    <t>M029</t>
  </si>
  <si>
    <t>Kismat Edwin</t>
  </si>
  <si>
    <t>M030</t>
  </si>
  <si>
    <t>Taran Vyas</t>
  </si>
  <si>
    <t>Nakul Balakrishnan</t>
  </si>
  <si>
    <t>M031</t>
  </si>
  <si>
    <t>Jiya Baral</t>
  </si>
  <si>
    <t>Darshit Sidhu</t>
  </si>
  <si>
    <t>M032</t>
  </si>
  <si>
    <t>Gokul Sahni</t>
  </si>
  <si>
    <t>M033</t>
  </si>
  <si>
    <t>Prerak Lalla</t>
  </si>
  <si>
    <t>M034</t>
  </si>
  <si>
    <t>Hrishita Shroff</t>
  </si>
  <si>
    <t>Riya Dugal</t>
  </si>
  <si>
    <t>M035</t>
  </si>
  <si>
    <t>Oorja Sachar</t>
  </si>
  <si>
    <t>S.no</t>
  </si>
  <si>
    <t>Membership_Duration_Months</t>
  </si>
  <si>
    <t>Referal Impact</t>
  </si>
  <si>
    <t>Row Labels</t>
  </si>
  <si>
    <t>Grand Total</t>
  </si>
  <si>
    <t>Average of Monthly_Fee</t>
  </si>
  <si>
    <t>No</t>
  </si>
  <si>
    <t>Yes</t>
  </si>
  <si>
    <t>Total_Revenue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</si>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</sst>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4" fillId="4" borderId="0" xfId="0" applyFont="1" applyFill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14" fontId="0" fillId="0" borderId="9" xfId="0" applyNumberFormat="1" applyBorder="1" applyAlignment="1">
      <alignment horizontal="right" wrapText="1"/>
    </xf>
    <xf numFmtId="0" fontId="0" fillId="0" borderId="9" xfId="0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fiq Ahmed" refreshedDate="46018.784304976849" createdVersion="8" refreshedVersion="8" minRefreshableVersion="3" recordCount="35" xr:uid="{0337A9E4-E3A3-448A-9F94-84DB84C0E518}">
  <cacheSource type="worksheet">
    <worksheetSource ref="A1:M36" sheet="Assign2"/>
  </cacheSource>
  <cacheFields count="13">
    <cacheField name="S.no" numFmtId="0">
      <sharedItems/>
    </cacheField>
    <cacheField name="Full_Name" numFmtId="0">
      <sharedItems/>
    </cacheField>
    <cacheField name="Age" numFmtId="0">
      <sharedItems containsSemiMixedTypes="0" containsString="0" containsNumber="1" containsInteger="1" minValue="19" maxValue="59"/>
    </cacheField>
    <cacheField name="Gender" numFmtId="0">
      <sharedItems/>
    </cacheField>
    <cacheField name="Membership_Type" numFmtId="0">
      <sharedItems/>
    </cacheField>
    <cacheField name="Start_Date" numFmtId="14">
      <sharedItems containsSemiMixedTypes="0" containsNonDate="0" containsDate="1" containsString="0" minDate="2023-05-19T00:00:00" maxDate="2025-02-27T00:00:00"/>
    </cacheField>
    <cacheField name="End_Date" numFmtId="14">
      <sharedItems containsSemiMixedTypes="0" containsNonDate="0" containsDate="1" containsString="0" minDate="2023-11-12T00:00:00" maxDate="2025-03-30T00:00:00"/>
    </cacheField>
    <cacheField name="Monthly_Fee" numFmtId="0">
      <sharedItems containsSemiMixedTypes="0" containsString="0" containsNumber="1" containsInteger="1" minValue="800" maxValue="2500"/>
    </cacheField>
    <cacheField name="Attendance" numFmtId="0">
      <sharedItems containsSemiMixedTypes="0" containsString="0" containsNumber="1" containsInteger="1" minValue="2" maxValue="30"/>
    </cacheField>
    <cacheField name="City" numFmtId="0">
      <sharedItems/>
    </cacheField>
    <cacheField name="Referred_By" numFmtId="0">
      <sharedItems containsBlank="1" count="16">
        <s v="Hiran Shan"/>
        <s v="Kiara Kakar"/>
        <s v="Jhanvi Chaudhary"/>
        <s v="Tara Swaminathan"/>
        <s v="Madhav Singh"/>
        <s v="Shray Ramakrishnan"/>
        <m/>
        <s v="Nitara Comar"/>
        <s v="Ranbir Karan"/>
        <s v="Rati Sanghvi"/>
        <s v="Ishaan Kashyap"/>
        <s v="Tanya Bajwa"/>
        <s v="Adira Brar"/>
        <s v="Nakul Balakrishnan"/>
        <s v="Darshit Sidhu"/>
        <s v="Riya Dugal"/>
      </sharedItems>
    </cacheField>
    <cacheField name="Membership_Duration_Months" numFmtId="0">
      <sharedItems containsSemiMixedTypes="0" containsString="0" containsNumber="1" containsInteger="1" minValue="0" maxValue="18"/>
    </cacheField>
    <cacheField name="Referal Impact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fiq Ahmed" refreshedDate="46018.788048263887" createdVersion="8" refreshedVersion="8" minRefreshableVersion="3" recordCount="35" xr:uid="{F3FB0A48-38C3-4618-BBE9-D01274298489}">
  <cacheSource type="worksheet">
    <worksheetSource ref="A1:N36" sheet="Assign2"/>
  </cacheSource>
  <cacheFields count="14">
    <cacheField name="S.no" numFmtId="0">
      <sharedItems/>
    </cacheField>
    <cacheField name="Full_Name" numFmtId="0">
      <sharedItems/>
    </cacheField>
    <cacheField name="Age" numFmtId="0">
      <sharedItems containsSemiMixedTypes="0" containsString="0" containsNumber="1" containsInteger="1" minValue="19" maxValue="59"/>
    </cacheField>
    <cacheField name="Gender" numFmtId="0">
      <sharedItems/>
    </cacheField>
    <cacheField name="Membership_Type" numFmtId="0">
      <sharedItems count="4">
        <s v="Basic"/>
        <s v="Standard"/>
        <s v="Family"/>
        <s v="Premium"/>
      </sharedItems>
    </cacheField>
    <cacheField name="Start_Date" numFmtId="14">
      <sharedItems containsSemiMixedTypes="0" containsNonDate="0" containsDate="1" containsString="0" minDate="2023-05-19T00:00:00" maxDate="2025-02-27T00:00:00"/>
    </cacheField>
    <cacheField name="End_Date" numFmtId="14">
      <sharedItems containsSemiMixedTypes="0" containsNonDate="0" containsDate="1" containsString="0" minDate="2023-11-12T00:00:00" maxDate="2025-03-30T00:00:00"/>
    </cacheField>
    <cacheField name="Monthly_Fee" numFmtId="0">
      <sharedItems containsSemiMixedTypes="0" containsString="0" containsNumber="1" containsInteger="1" minValue="800" maxValue="2500"/>
    </cacheField>
    <cacheField name="Attendance" numFmtId="0">
      <sharedItems containsSemiMixedTypes="0" containsString="0" containsNumber="1" containsInteger="1" minValue="2" maxValue="30"/>
    </cacheField>
    <cacheField name="City" numFmtId="0">
      <sharedItems count="6">
        <s v="Bengaluru"/>
        <s v="Pune"/>
        <s v="Hyderabad"/>
        <s v="Mumbai"/>
        <s v="Kolkata"/>
        <s v="Delhi"/>
      </sharedItems>
    </cacheField>
    <cacheField name="Referred_By" numFmtId="0">
      <sharedItems containsBlank="1"/>
    </cacheField>
    <cacheField name="Membership_Duration_Months" numFmtId="0">
      <sharedItems containsSemiMixedTypes="0" containsString="0" containsNumber="1" containsInteger="1" minValue="0" maxValue="18"/>
    </cacheField>
    <cacheField name="Referal Impact" numFmtId="0">
      <sharedItems/>
    </cacheField>
    <cacheField name="Total_Revenue" numFmtId="0">
      <sharedItems containsSemiMixedTypes="0" containsString="0" containsNumber="1" containsInteger="1" minValue="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M001"/>
    <s v="Anay Shanker"/>
    <n v="59"/>
    <s v="Male"/>
    <s v="Basic"/>
    <d v="2023-11-05T00:00:00"/>
    <d v="2024-05-13T00:00:00"/>
    <n v="800"/>
    <n v="25"/>
    <s v="Bengaluru"/>
    <x v="0"/>
    <n v="6"/>
    <x v="0"/>
  </r>
  <r>
    <s v="M002"/>
    <s v="Parinaaz Shanker"/>
    <n v="27"/>
    <s v="Male"/>
    <s v="Basic"/>
    <d v="2025-02-26T00:00:00"/>
    <d v="2025-03-24T00:00:00"/>
    <n v="800"/>
    <n v="20"/>
    <s v="Pune"/>
    <x v="1"/>
    <n v="0"/>
    <x v="0"/>
  </r>
  <r>
    <s v="M003"/>
    <s v="Aniruddh Batra"/>
    <n v="24"/>
    <s v="Male"/>
    <s v="Standard"/>
    <d v="2023-09-22T00:00:00"/>
    <d v="2024-03-20T00:00:00"/>
    <n v="1200"/>
    <n v="18"/>
    <s v="Hyderabad"/>
    <x v="2"/>
    <n v="6"/>
    <x v="0"/>
  </r>
  <r>
    <s v="M004"/>
    <s v="Madhup Kapur"/>
    <n v="31"/>
    <s v="Female"/>
    <s v="Standard"/>
    <d v="2024-07-06T00:00:00"/>
    <d v="2024-10-22T00:00:00"/>
    <n v="1200"/>
    <n v="16"/>
    <s v="Hyderabad"/>
    <x v="3"/>
    <n v="3"/>
    <x v="0"/>
  </r>
  <r>
    <s v="M005"/>
    <s v="Rasha Kakar"/>
    <n v="19"/>
    <s v="Male"/>
    <s v="Family"/>
    <d v="2023-12-26T00:00:00"/>
    <d v="2024-07-28T00:00:00"/>
    <n v="2500"/>
    <n v="12"/>
    <s v="Bengaluru"/>
    <x v="4"/>
    <n v="7"/>
    <x v="0"/>
  </r>
  <r>
    <s v="M006"/>
    <s v="Ehsaan Batra"/>
    <n v="40"/>
    <s v="Male"/>
    <s v="Basic"/>
    <d v="2024-01-26T00:00:00"/>
    <d v="2024-04-10T00:00:00"/>
    <n v="800"/>
    <n v="14"/>
    <s v="Mumbai"/>
    <x v="5"/>
    <n v="2"/>
    <x v="0"/>
  </r>
  <r>
    <s v="M007"/>
    <s v="Zara Bains"/>
    <n v="41"/>
    <s v="Female"/>
    <s v="Basic"/>
    <d v="2024-10-23T00:00:00"/>
    <d v="2025-01-20T00:00:00"/>
    <n v="800"/>
    <n v="25"/>
    <s v="Pune"/>
    <x v="6"/>
    <n v="2"/>
    <x v="1"/>
  </r>
  <r>
    <s v="M008"/>
    <s v="Uthkarsh Baral"/>
    <n v="43"/>
    <s v="Male"/>
    <s v="Premium"/>
    <d v="2024-06-07T00:00:00"/>
    <d v="2024-09-28T00:00:00"/>
    <n v="1800"/>
    <n v="28"/>
    <s v="Kolkata"/>
    <x v="6"/>
    <n v="3"/>
    <x v="1"/>
  </r>
  <r>
    <s v="M009"/>
    <s v="Kashvi Char"/>
    <n v="42"/>
    <s v="Male"/>
    <s v="Basic"/>
    <d v="2024-10-04T00:00:00"/>
    <d v="2024-10-17T00:00:00"/>
    <n v="800"/>
    <n v="3"/>
    <s v="Kolkata"/>
    <x v="7"/>
    <n v="0"/>
    <x v="0"/>
  </r>
  <r>
    <s v="M010"/>
    <s v="Dhanush Varma"/>
    <n v="37"/>
    <s v="Male"/>
    <s v="Standard"/>
    <d v="2023-10-03T00:00:00"/>
    <d v="2023-12-20T00:00:00"/>
    <n v="1200"/>
    <n v="29"/>
    <s v="Mumbai"/>
    <x v="8"/>
    <n v="2"/>
    <x v="0"/>
  </r>
  <r>
    <s v="M011"/>
    <s v="Ishaan Goyal"/>
    <n v="48"/>
    <s v="Female"/>
    <s v="Standard"/>
    <d v="2024-01-06T00:00:00"/>
    <d v="2024-06-16T00:00:00"/>
    <n v="1200"/>
    <n v="13"/>
    <s v="Bengaluru"/>
    <x v="9"/>
    <n v="5"/>
    <x v="0"/>
  </r>
  <r>
    <s v="M012"/>
    <s v="Mahika Ravi"/>
    <n v="36"/>
    <s v="Male"/>
    <s v="Standard"/>
    <d v="2023-08-16T00:00:00"/>
    <d v="2024-10-03T00:00:00"/>
    <n v="1200"/>
    <n v="19"/>
    <s v="Kolkata"/>
    <x v="10"/>
    <n v="13"/>
    <x v="0"/>
  </r>
  <r>
    <s v="M013"/>
    <s v="Purab Reddy"/>
    <n v="48"/>
    <s v="Female"/>
    <s v="Premium"/>
    <d v="2024-09-21T00:00:00"/>
    <d v="2024-12-15T00:00:00"/>
    <n v="1800"/>
    <n v="22"/>
    <s v="Kolkata"/>
    <x v="6"/>
    <n v="2"/>
    <x v="1"/>
  </r>
  <r>
    <s v="M014"/>
    <s v="Tiya Soni"/>
    <n v="39"/>
    <s v="Male"/>
    <s v="Standard"/>
    <d v="2023-05-19T00:00:00"/>
    <d v="2023-11-12T00:00:00"/>
    <n v="1200"/>
    <n v="28"/>
    <s v="Mumbai"/>
    <x v="6"/>
    <n v="5"/>
    <x v="1"/>
  </r>
  <r>
    <s v="M015"/>
    <s v="Zara Dugar"/>
    <n v="44"/>
    <s v="Female"/>
    <s v="Basic"/>
    <d v="2024-02-11T00:00:00"/>
    <d v="2024-09-05T00:00:00"/>
    <n v="800"/>
    <n v="8"/>
    <s v="Hyderabad"/>
    <x v="6"/>
    <n v="6"/>
    <x v="1"/>
  </r>
  <r>
    <s v="M016"/>
    <s v="Lakshit Mander"/>
    <n v="39"/>
    <s v="Male"/>
    <s v="Family"/>
    <d v="2025-02-14T00:00:00"/>
    <d v="2025-03-16T00:00:00"/>
    <n v="2500"/>
    <n v="14"/>
    <s v="Kolkata"/>
    <x v="6"/>
    <n v="1"/>
    <x v="1"/>
  </r>
  <r>
    <s v="M017"/>
    <s v="Neysa Krish"/>
    <n v="35"/>
    <s v="Male"/>
    <s v="Standard"/>
    <d v="2024-02-07T00:00:00"/>
    <d v="2025-01-28T00:00:00"/>
    <n v="1200"/>
    <n v="25"/>
    <s v="Hyderabad"/>
    <x v="6"/>
    <n v="11"/>
    <x v="1"/>
  </r>
  <r>
    <s v="M018"/>
    <s v="Prerak Boase"/>
    <n v="56"/>
    <s v="Female"/>
    <s v="Family"/>
    <d v="2023-10-14T00:00:00"/>
    <d v="2024-12-23T00:00:00"/>
    <n v="2500"/>
    <n v="13"/>
    <s v="Delhi"/>
    <x v="6"/>
    <n v="14"/>
    <x v="1"/>
  </r>
  <r>
    <s v="M019"/>
    <s v="Siya Master"/>
    <n v="27"/>
    <s v="Female"/>
    <s v="Basic"/>
    <d v="2024-03-03T00:00:00"/>
    <d v="2025-01-07T00:00:00"/>
    <n v="800"/>
    <n v="26"/>
    <s v="Mumbai"/>
    <x v="6"/>
    <n v="10"/>
    <x v="1"/>
  </r>
  <r>
    <s v="M020"/>
    <s v="Madhup Biswas"/>
    <n v="28"/>
    <s v="Male"/>
    <s v="Family"/>
    <d v="2024-05-05T00:00:00"/>
    <d v="2024-11-12T00:00:00"/>
    <n v="2500"/>
    <n v="21"/>
    <s v="Mumbai"/>
    <x v="11"/>
    <n v="6"/>
    <x v="0"/>
  </r>
  <r>
    <s v="M021"/>
    <s v="Indrans Ratti"/>
    <n v="57"/>
    <s v="Female"/>
    <s v="Premium"/>
    <d v="2023-08-08T00:00:00"/>
    <d v="2025-01-17T00:00:00"/>
    <n v="1800"/>
    <n v="19"/>
    <s v="Mumbai"/>
    <x v="6"/>
    <n v="17"/>
    <x v="1"/>
  </r>
  <r>
    <s v="M022"/>
    <s v="Kimaya Balay"/>
    <n v="26"/>
    <s v="Female"/>
    <s v="Premium"/>
    <d v="2024-01-29T00:00:00"/>
    <d v="2024-11-20T00:00:00"/>
    <n v="1800"/>
    <n v="5"/>
    <s v="Bengaluru"/>
    <x v="6"/>
    <n v="9"/>
    <x v="1"/>
  </r>
  <r>
    <s v="M023"/>
    <s v="Eva Dass"/>
    <n v="48"/>
    <s v="Male"/>
    <s v="Premium"/>
    <d v="2024-06-08T00:00:00"/>
    <d v="2024-06-12T00:00:00"/>
    <n v="1800"/>
    <n v="18"/>
    <s v="Delhi"/>
    <x v="6"/>
    <n v="0"/>
    <x v="1"/>
  </r>
  <r>
    <s v="M024"/>
    <s v="Pihu Wali"/>
    <n v="25"/>
    <s v="Female"/>
    <s v="Standard"/>
    <d v="2024-05-27T00:00:00"/>
    <d v="2025-03-14T00:00:00"/>
    <n v="1200"/>
    <n v="6"/>
    <s v="Bengaluru"/>
    <x v="6"/>
    <n v="9"/>
    <x v="1"/>
  </r>
  <r>
    <s v="M025"/>
    <s v="Tiya Rege"/>
    <n v="53"/>
    <s v="Male"/>
    <s v="Premium"/>
    <d v="2023-12-26T00:00:00"/>
    <d v="2024-03-21T00:00:00"/>
    <n v="1800"/>
    <n v="17"/>
    <s v="Mumbai"/>
    <x v="12"/>
    <n v="2"/>
    <x v="0"/>
  </r>
  <r>
    <s v="M026"/>
    <s v="Aarav Sen"/>
    <n v="42"/>
    <s v="Female"/>
    <s v="Standard"/>
    <d v="2025-02-14T00:00:00"/>
    <d v="2025-03-11T00:00:00"/>
    <n v="1200"/>
    <n v="3"/>
    <s v="Delhi"/>
    <x v="6"/>
    <n v="0"/>
    <x v="1"/>
  </r>
  <r>
    <s v="M027"/>
    <s v="Dishani Bera"/>
    <n v="24"/>
    <s v="Male"/>
    <s v="Family"/>
    <d v="2025-02-10T00:00:00"/>
    <d v="2025-03-10T00:00:00"/>
    <n v="2500"/>
    <n v="28"/>
    <s v="Mumbai"/>
    <x v="6"/>
    <n v="0"/>
    <x v="1"/>
  </r>
  <r>
    <s v="M028"/>
    <s v="Indrans Grover"/>
    <n v="53"/>
    <s v="Male"/>
    <s v="Standard"/>
    <d v="2024-11-18T00:00:00"/>
    <d v="2024-12-19T00:00:00"/>
    <n v="1200"/>
    <n v="23"/>
    <s v="Pune"/>
    <x v="6"/>
    <n v="1"/>
    <x v="1"/>
  </r>
  <r>
    <s v="M029"/>
    <s v="Kismat Edwin"/>
    <n v="29"/>
    <s v="Female"/>
    <s v="Family"/>
    <d v="2024-04-19T00:00:00"/>
    <d v="2024-04-26T00:00:00"/>
    <n v="2500"/>
    <n v="8"/>
    <s v="Hyderabad"/>
    <x v="6"/>
    <n v="0"/>
    <x v="1"/>
  </r>
  <r>
    <s v="M030"/>
    <s v="Taran Vyas"/>
    <n v="31"/>
    <s v="Female"/>
    <s v="Family"/>
    <d v="2025-01-10T00:00:00"/>
    <d v="2025-03-29T00:00:00"/>
    <n v="2500"/>
    <n v="23"/>
    <s v="Kolkata"/>
    <x v="13"/>
    <n v="2"/>
    <x v="0"/>
  </r>
  <r>
    <s v="M031"/>
    <s v="Jiya Baral"/>
    <n v="52"/>
    <s v="Female"/>
    <s v="Basic"/>
    <d v="2023-06-11T00:00:00"/>
    <d v="2024-12-30T00:00:00"/>
    <n v="800"/>
    <n v="9"/>
    <s v="Delhi"/>
    <x v="14"/>
    <n v="18"/>
    <x v="0"/>
  </r>
  <r>
    <s v="M032"/>
    <s v="Gokul Sahni"/>
    <n v="20"/>
    <s v="Male"/>
    <s v="Standard"/>
    <d v="2024-04-09T00:00:00"/>
    <d v="2024-11-08T00:00:00"/>
    <n v="1200"/>
    <n v="2"/>
    <s v="Mumbai"/>
    <x v="6"/>
    <n v="7"/>
    <x v="1"/>
  </r>
  <r>
    <s v="M033"/>
    <s v="Prerak Lalla"/>
    <n v="22"/>
    <s v="Male"/>
    <s v="Basic"/>
    <d v="2025-02-11T00:00:00"/>
    <d v="2025-03-24T00:00:00"/>
    <n v="800"/>
    <n v="30"/>
    <s v="Mumbai"/>
    <x v="6"/>
    <n v="1"/>
    <x v="1"/>
  </r>
  <r>
    <s v="M034"/>
    <s v="Hrishita Shroff"/>
    <n v="23"/>
    <s v="Male"/>
    <s v="Premium"/>
    <d v="2024-10-23T00:00:00"/>
    <d v="2025-03-05T00:00:00"/>
    <n v="1800"/>
    <n v="23"/>
    <s v="Pune"/>
    <x v="15"/>
    <n v="4"/>
    <x v="0"/>
  </r>
  <r>
    <s v="M035"/>
    <s v="Oorja Sachar"/>
    <n v="27"/>
    <s v="Female"/>
    <s v="Standard"/>
    <d v="2024-01-21T00:00:00"/>
    <d v="2024-12-26T00:00:00"/>
    <n v="1200"/>
    <n v="27"/>
    <s v="Pune"/>
    <x v="6"/>
    <n v="1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M001"/>
    <s v="Anay Shanker"/>
    <n v="59"/>
    <s v="Male"/>
    <x v="0"/>
    <d v="2023-11-05T00:00:00"/>
    <d v="2024-05-13T00:00:00"/>
    <n v="800"/>
    <n v="25"/>
    <x v="0"/>
    <s v="Hiran Shan"/>
    <n v="6"/>
    <s v="Yes"/>
    <n v="4800"/>
  </r>
  <r>
    <s v="M002"/>
    <s v="Parinaaz Shanker"/>
    <n v="27"/>
    <s v="Male"/>
    <x v="0"/>
    <d v="2025-02-26T00:00:00"/>
    <d v="2025-03-24T00:00:00"/>
    <n v="800"/>
    <n v="20"/>
    <x v="1"/>
    <s v="Kiara Kakar"/>
    <n v="0"/>
    <s v="Yes"/>
    <n v="0"/>
  </r>
  <r>
    <s v="M003"/>
    <s v="Aniruddh Batra"/>
    <n v="24"/>
    <s v="Male"/>
    <x v="1"/>
    <d v="2023-09-22T00:00:00"/>
    <d v="2024-03-20T00:00:00"/>
    <n v="1200"/>
    <n v="18"/>
    <x v="2"/>
    <s v="Jhanvi Chaudhary"/>
    <n v="6"/>
    <s v="Yes"/>
    <n v="7200"/>
  </r>
  <r>
    <s v="M004"/>
    <s v="Madhup Kapur"/>
    <n v="31"/>
    <s v="Female"/>
    <x v="1"/>
    <d v="2024-07-06T00:00:00"/>
    <d v="2024-10-22T00:00:00"/>
    <n v="1200"/>
    <n v="16"/>
    <x v="2"/>
    <s v="Tara Swaminathan"/>
    <n v="3"/>
    <s v="Yes"/>
    <n v="3600"/>
  </r>
  <r>
    <s v="M005"/>
    <s v="Rasha Kakar"/>
    <n v="19"/>
    <s v="Male"/>
    <x v="2"/>
    <d v="2023-12-26T00:00:00"/>
    <d v="2024-07-28T00:00:00"/>
    <n v="2500"/>
    <n v="12"/>
    <x v="0"/>
    <s v="Madhav Singh"/>
    <n v="7"/>
    <s v="Yes"/>
    <n v="17500"/>
  </r>
  <r>
    <s v="M006"/>
    <s v="Ehsaan Batra"/>
    <n v="40"/>
    <s v="Male"/>
    <x v="0"/>
    <d v="2024-01-26T00:00:00"/>
    <d v="2024-04-10T00:00:00"/>
    <n v="800"/>
    <n v="14"/>
    <x v="3"/>
    <s v="Shray Ramakrishnan"/>
    <n v="2"/>
    <s v="Yes"/>
    <n v="1600"/>
  </r>
  <r>
    <s v="M007"/>
    <s v="Zara Bains"/>
    <n v="41"/>
    <s v="Female"/>
    <x v="0"/>
    <d v="2024-10-23T00:00:00"/>
    <d v="2025-01-20T00:00:00"/>
    <n v="800"/>
    <n v="25"/>
    <x v="1"/>
    <m/>
    <n v="2"/>
    <s v="No"/>
    <n v="1600"/>
  </r>
  <r>
    <s v="M008"/>
    <s v="Uthkarsh Baral"/>
    <n v="43"/>
    <s v="Male"/>
    <x v="3"/>
    <d v="2024-06-07T00:00:00"/>
    <d v="2024-09-28T00:00:00"/>
    <n v="1800"/>
    <n v="28"/>
    <x v="4"/>
    <m/>
    <n v="3"/>
    <s v="No"/>
    <n v="5400"/>
  </r>
  <r>
    <s v="M009"/>
    <s v="Kashvi Char"/>
    <n v="42"/>
    <s v="Male"/>
    <x v="0"/>
    <d v="2024-10-04T00:00:00"/>
    <d v="2024-10-17T00:00:00"/>
    <n v="800"/>
    <n v="3"/>
    <x v="4"/>
    <s v="Nitara Comar"/>
    <n v="0"/>
    <s v="Yes"/>
    <n v="0"/>
  </r>
  <r>
    <s v="M010"/>
    <s v="Dhanush Varma"/>
    <n v="37"/>
    <s v="Male"/>
    <x v="1"/>
    <d v="2023-10-03T00:00:00"/>
    <d v="2023-12-20T00:00:00"/>
    <n v="1200"/>
    <n v="29"/>
    <x v="3"/>
    <s v="Ranbir Karan"/>
    <n v="2"/>
    <s v="Yes"/>
    <n v="2400"/>
  </r>
  <r>
    <s v="M011"/>
    <s v="Ishaan Goyal"/>
    <n v="48"/>
    <s v="Female"/>
    <x v="1"/>
    <d v="2024-01-06T00:00:00"/>
    <d v="2024-06-16T00:00:00"/>
    <n v="1200"/>
    <n v="13"/>
    <x v="0"/>
    <s v="Rati Sanghvi"/>
    <n v="5"/>
    <s v="Yes"/>
    <n v="6000"/>
  </r>
  <r>
    <s v="M012"/>
    <s v="Mahika Ravi"/>
    <n v="36"/>
    <s v="Male"/>
    <x v="1"/>
    <d v="2023-08-16T00:00:00"/>
    <d v="2024-10-03T00:00:00"/>
    <n v="1200"/>
    <n v="19"/>
    <x v="4"/>
    <s v="Ishaan Kashyap"/>
    <n v="13"/>
    <s v="Yes"/>
    <n v="15600"/>
  </r>
  <r>
    <s v="M013"/>
    <s v="Purab Reddy"/>
    <n v="48"/>
    <s v="Female"/>
    <x v="3"/>
    <d v="2024-09-21T00:00:00"/>
    <d v="2024-12-15T00:00:00"/>
    <n v="1800"/>
    <n v="22"/>
    <x v="4"/>
    <m/>
    <n v="2"/>
    <s v="No"/>
    <n v="3600"/>
  </r>
  <r>
    <s v="M014"/>
    <s v="Tiya Soni"/>
    <n v="39"/>
    <s v="Male"/>
    <x v="1"/>
    <d v="2023-05-19T00:00:00"/>
    <d v="2023-11-12T00:00:00"/>
    <n v="1200"/>
    <n v="28"/>
    <x v="3"/>
    <m/>
    <n v="5"/>
    <s v="No"/>
    <n v="6000"/>
  </r>
  <r>
    <s v="M015"/>
    <s v="Zara Dugar"/>
    <n v="44"/>
    <s v="Female"/>
    <x v="0"/>
    <d v="2024-02-11T00:00:00"/>
    <d v="2024-09-05T00:00:00"/>
    <n v="800"/>
    <n v="8"/>
    <x v="2"/>
    <m/>
    <n v="6"/>
    <s v="No"/>
    <n v="4800"/>
  </r>
  <r>
    <s v="M016"/>
    <s v="Lakshit Mander"/>
    <n v="39"/>
    <s v="Male"/>
    <x v="2"/>
    <d v="2025-02-14T00:00:00"/>
    <d v="2025-03-16T00:00:00"/>
    <n v="2500"/>
    <n v="14"/>
    <x v="4"/>
    <m/>
    <n v="1"/>
    <s v="No"/>
    <n v="2500"/>
  </r>
  <r>
    <s v="M017"/>
    <s v="Neysa Krish"/>
    <n v="35"/>
    <s v="Male"/>
    <x v="1"/>
    <d v="2024-02-07T00:00:00"/>
    <d v="2025-01-28T00:00:00"/>
    <n v="1200"/>
    <n v="25"/>
    <x v="2"/>
    <m/>
    <n v="11"/>
    <s v="No"/>
    <n v="13200"/>
  </r>
  <r>
    <s v="M018"/>
    <s v="Prerak Boase"/>
    <n v="56"/>
    <s v="Female"/>
    <x v="2"/>
    <d v="2023-10-14T00:00:00"/>
    <d v="2024-12-23T00:00:00"/>
    <n v="2500"/>
    <n v="13"/>
    <x v="5"/>
    <m/>
    <n v="14"/>
    <s v="No"/>
    <n v="35000"/>
  </r>
  <r>
    <s v="M019"/>
    <s v="Siya Master"/>
    <n v="27"/>
    <s v="Female"/>
    <x v="0"/>
    <d v="2024-03-03T00:00:00"/>
    <d v="2025-01-07T00:00:00"/>
    <n v="800"/>
    <n v="26"/>
    <x v="3"/>
    <m/>
    <n v="10"/>
    <s v="No"/>
    <n v="8000"/>
  </r>
  <r>
    <s v="M020"/>
    <s v="Madhup Biswas"/>
    <n v="28"/>
    <s v="Male"/>
    <x v="2"/>
    <d v="2024-05-05T00:00:00"/>
    <d v="2024-11-12T00:00:00"/>
    <n v="2500"/>
    <n v="21"/>
    <x v="3"/>
    <s v="Tanya Bajwa"/>
    <n v="6"/>
    <s v="Yes"/>
    <n v="15000"/>
  </r>
  <r>
    <s v="M021"/>
    <s v="Indrans Ratti"/>
    <n v="57"/>
    <s v="Female"/>
    <x v="3"/>
    <d v="2023-08-08T00:00:00"/>
    <d v="2025-01-17T00:00:00"/>
    <n v="1800"/>
    <n v="19"/>
    <x v="3"/>
    <m/>
    <n v="17"/>
    <s v="No"/>
    <n v="30600"/>
  </r>
  <r>
    <s v="M022"/>
    <s v="Kimaya Balay"/>
    <n v="26"/>
    <s v="Female"/>
    <x v="3"/>
    <d v="2024-01-29T00:00:00"/>
    <d v="2024-11-20T00:00:00"/>
    <n v="1800"/>
    <n v="5"/>
    <x v="0"/>
    <m/>
    <n v="9"/>
    <s v="No"/>
    <n v="16200"/>
  </r>
  <r>
    <s v="M023"/>
    <s v="Eva Dass"/>
    <n v="48"/>
    <s v="Male"/>
    <x v="3"/>
    <d v="2024-06-08T00:00:00"/>
    <d v="2024-06-12T00:00:00"/>
    <n v="1800"/>
    <n v="18"/>
    <x v="5"/>
    <m/>
    <n v="0"/>
    <s v="No"/>
    <n v="0"/>
  </r>
  <r>
    <s v="M024"/>
    <s v="Pihu Wali"/>
    <n v="25"/>
    <s v="Female"/>
    <x v="1"/>
    <d v="2024-05-27T00:00:00"/>
    <d v="2025-03-14T00:00:00"/>
    <n v="1200"/>
    <n v="6"/>
    <x v="0"/>
    <m/>
    <n v="9"/>
    <s v="No"/>
    <n v="10800"/>
  </r>
  <r>
    <s v="M025"/>
    <s v="Tiya Rege"/>
    <n v="53"/>
    <s v="Male"/>
    <x v="3"/>
    <d v="2023-12-26T00:00:00"/>
    <d v="2024-03-21T00:00:00"/>
    <n v="1800"/>
    <n v="17"/>
    <x v="3"/>
    <s v="Adira Brar"/>
    <n v="2"/>
    <s v="Yes"/>
    <n v="3600"/>
  </r>
  <r>
    <s v="M026"/>
    <s v="Aarav Sen"/>
    <n v="42"/>
    <s v="Female"/>
    <x v="1"/>
    <d v="2025-02-14T00:00:00"/>
    <d v="2025-03-11T00:00:00"/>
    <n v="1200"/>
    <n v="3"/>
    <x v="5"/>
    <m/>
    <n v="0"/>
    <s v="No"/>
    <n v="0"/>
  </r>
  <r>
    <s v="M027"/>
    <s v="Dishani Bera"/>
    <n v="24"/>
    <s v="Male"/>
    <x v="2"/>
    <d v="2025-02-10T00:00:00"/>
    <d v="2025-03-10T00:00:00"/>
    <n v="2500"/>
    <n v="28"/>
    <x v="3"/>
    <m/>
    <n v="0"/>
    <s v="No"/>
    <n v="0"/>
  </r>
  <r>
    <s v="M028"/>
    <s v="Indrans Grover"/>
    <n v="53"/>
    <s v="Male"/>
    <x v="1"/>
    <d v="2024-11-18T00:00:00"/>
    <d v="2024-12-19T00:00:00"/>
    <n v="1200"/>
    <n v="23"/>
    <x v="1"/>
    <m/>
    <n v="1"/>
    <s v="No"/>
    <n v="1200"/>
  </r>
  <r>
    <s v="M029"/>
    <s v="Kismat Edwin"/>
    <n v="29"/>
    <s v="Female"/>
    <x v="2"/>
    <d v="2024-04-19T00:00:00"/>
    <d v="2024-04-26T00:00:00"/>
    <n v="2500"/>
    <n v="8"/>
    <x v="2"/>
    <m/>
    <n v="0"/>
    <s v="No"/>
    <n v="0"/>
  </r>
  <r>
    <s v="M030"/>
    <s v="Taran Vyas"/>
    <n v="31"/>
    <s v="Female"/>
    <x v="2"/>
    <d v="2025-01-10T00:00:00"/>
    <d v="2025-03-29T00:00:00"/>
    <n v="2500"/>
    <n v="23"/>
    <x v="4"/>
    <s v="Nakul Balakrishnan"/>
    <n v="2"/>
    <s v="Yes"/>
    <n v="5000"/>
  </r>
  <r>
    <s v="M031"/>
    <s v="Jiya Baral"/>
    <n v="52"/>
    <s v="Female"/>
    <x v="0"/>
    <d v="2023-06-11T00:00:00"/>
    <d v="2024-12-30T00:00:00"/>
    <n v="800"/>
    <n v="9"/>
    <x v="5"/>
    <s v="Darshit Sidhu"/>
    <n v="18"/>
    <s v="Yes"/>
    <n v="14400"/>
  </r>
  <r>
    <s v="M032"/>
    <s v="Gokul Sahni"/>
    <n v="20"/>
    <s v="Male"/>
    <x v="1"/>
    <d v="2024-04-09T00:00:00"/>
    <d v="2024-11-08T00:00:00"/>
    <n v="1200"/>
    <n v="2"/>
    <x v="3"/>
    <m/>
    <n v="7"/>
    <s v="No"/>
    <n v="8400"/>
  </r>
  <r>
    <s v="M033"/>
    <s v="Prerak Lalla"/>
    <n v="22"/>
    <s v="Male"/>
    <x v="0"/>
    <d v="2025-02-11T00:00:00"/>
    <d v="2025-03-24T00:00:00"/>
    <n v="800"/>
    <n v="30"/>
    <x v="3"/>
    <m/>
    <n v="1"/>
    <s v="No"/>
    <n v="800"/>
  </r>
  <r>
    <s v="M034"/>
    <s v="Hrishita Shroff"/>
    <n v="23"/>
    <s v="Male"/>
    <x v="3"/>
    <d v="2024-10-23T00:00:00"/>
    <d v="2025-03-05T00:00:00"/>
    <n v="1800"/>
    <n v="23"/>
    <x v="1"/>
    <s v="Riya Dugal"/>
    <n v="4"/>
    <s v="Yes"/>
    <n v="7200"/>
  </r>
  <r>
    <s v="M035"/>
    <s v="Oorja Sachar"/>
    <n v="27"/>
    <s v="Female"/>
    <x v="1"/>
    <d v="2024-01-21T00:00:00"/>
    <d v="2024-12-26T00:00:00"/>
    <n v="1200"/>
    <n v="27"/>
    <x v="1"/>
    <m/>
    <n v="11"/>
    <s v="No"/>
    <n v="13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D6837-B37E-4675-BA0B-7C8FCAB2EFE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9:N56" firstHeaderRow="1" firstDataRow="1" firstDataCol="1"/>
  <pivotFields count="14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7">
        <item x="0"/>
        <item x="5"/>
        <item x="2"/>
        <item x="4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FEC44-9301-4F2F-80BE-1FA35D9D4E9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7:M48" firstHeaderRow="1" firstDataRow="1" firstDataCol="0" rowPageCount="1" colPageCount="1"/>
  <pivotFields count="14"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4" item="1" hier="-1"/>
  </pageFields>
  <dataFields count="1">
    <dataField name="Sum of Total_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678ED-BD60-4928-93F3-3E3A1B1C4A2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1:N44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17">
        <item x="12"/>
        <item x="14"/>
        <item x="0"/>
        <item x="10"/>
        <item x="2"/>
        <item x="1"/>
        <item x="4"/>
        <item x="13"/>
        <item x="7"/>
        <item x="8"/>
        <item x="9"/>
        <item x="15"/>
        <item x="5"/>
        <item x="11"/>
        <item x="3"/>
        <item x="6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Monthly_Fee" fld="7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E290E7-2086-4760-B81C-26546552E8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8044-A5E3-4200-B597-13C34136E791}">
  <dimension ref="A1:T29"/>
  <sheetViews>
    <sheetView workbookViewId="0">
      <selection activeCell="P14" sqref="P14"/>
    </sheetView>
  </sheetViews>
  <sheetFormatPr defaultRowHeight="14.4" x14ac:dyDescent="0.3"/>
  <cols>
    <col min="1" max="1" width="16.109375" customWidth="1"/>
    <col min="2" max="2" width="7.33203125" bestFit="1" customWidth="1"/>
    <col min="3" max="3" width="15.6640625" customWidth="1"/>
    <col min="4" max="4" width="15.77734375" customWidth="1"/>
    <col min="5" max="5" width="19.33203125" customWidth="1"/>
    <col min="6" max="6" width="20.33203125" customWidth="1"/>
    <col min="7" max="7" width="24.44140625" customWidth="1"/>
    <col min="8" max="8" width="23.88671875" customWidth="1"/>
    <col min="9" max="9" width="37" customWidth="1"/>
    <col min="10" max="10" width="33" customWidth="1"/>
    <col min="13" max="13" width="52.5546875" bestFit="1" customWidth="1"/>
  </cols>
  <sheetData>
    <row r="1" spans="1:20" ht="22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0" t="s">
        <v>37</v>
      </c>
      <c r="I1" s="10" t="s">
        <v>38</v>
      </c>
      <c r="J1" s="10" t="s">
        <v>39</v>
      </c>
      <c r="K1" s="10" t="s">
        <v>40</v>
      </c>
      <c r="M1" t="str">
        <f>INDEX(B:B,MATCH(MAX(I:I),I:I,0))</f>
        <v>Neeraj</v>
      </c>
    </row>
    <row r="2" spans="1:20" ht="15" thickBot="1" x14ac:dyDescent="0.35">
      <c r="A2" s="4">
        <v>107</v>
      </c>
      <c r="B2" s="5" t="s">
        <v>18</v>
      </c>
      <c r="C2" s="5" t="s">
        <v>14</v>
      </c>
      <c r="D2" s="5">
        <v>50</v>
      </c>
      <c r="E2" s="5">
        <v>80</v>
      </c>
      <c r="F2" s="5">
        <v>100</v>
      </c>
      <c r="G2" s="8">
        <v>5</v>
      </c>
      <c r="H2" s="8">
        <f xml:space="preserve"> (F2*G2)/D2</f>
        <v>10</v>
      </c>
      <c r="I2" s="8">
        <f>IFERROR(CORREL(D2:D26, G2:G26), 0)</f>
        <v>0.94623485838187738</v>
      </c>
      <c r="J2" s="8">
        <f>IFERROR(CORREL(E2:E26, G2:G26), 0)</f>
        <v>0.9574553703647628</v>
      </c>
      <c r="K2" s="8">
        <f>E2/D2</f>
        <v>1.6</v>
      </c>
      <c r="M2" t="str">
        <f>INDEX(C:C, MATCH(MAX(I:I), I:I, 0))</f>
        <v>Marketing</v>
      </c>
      <c r="N2" cm="1">
        <f t="array" ref="N2:T4">_xlfn._xlws.FILTER(A2:G26, (G2:G26&gt;=4)*(D2:D26&lt;AVERAGE(D2:D26)))</f>
        <v>110</v>
      </c>
      <c r="O2" t="str">
        <v>Sneha</v>
      </c>
      <c r="P2" t="str">
        <v>Sales</v>
      </c>
      <c r="Q2">
        <v>37</v>
      </c>
      <c r="R2">
        <v>55</v>
      </c>
      <c r="S2">
        <v>83</v>
      </c>
      <c r="T2">
        <v>4</v>
      </c>
    </row>
    <row r="3" spans="1:20" ht="15" thickBot="1" x14ac:dyDescent="0.35">
      <c r="A3" s="4">
        <v>125</v>
      </c>
      <c r="B3" s="5" t="s">
        <v>36</v>
      </c>
      <c r="C3" s="5" t="s">
        <v>14</v>
      </c>
      <c r="D3" s="5">
        <v>47</v>
      </c>
      <c r="E3" s="5">
        <v>79</v>
      </c>
      <c r="F3" s="5">
        <v>99</v>
      </c>
      <c r="G3" s="8">
        <v>5</v>
      </c>
      <c r="H3" s="8">
        <f xml:space="preserve"> (F3*G3)/D3</f>
        <v>10.531914893617021</v>
      </c>
      <c r="I3" s="8">
        <f t="shared" ref="I3:I26" si="0">IFERROR(CORREL(D3:D27, G3:G27), 0)</f>
        <v>0.95209126261602661</v>
      </c>
      <c r="J3" s="8">
        <f t="shared" ref="J3:J26" si="1">IFERROR(CORREL(E3:E27, G3:G27), 0)</f>
        <v>0.95714894849198029</v>
      </c>
      <c r="K3" s="8">
        <f t="shared" ref="K3:K26" si="2">E3/D3</f>
        <v>1.6808510638297873</v>
      </c>
      <c r="M3" s="11" t="s">
        <v>41</v>
      </c>
      <c r="N3">
        <v>101</v>
      </c>
      <c r="O3" t="str">
        <v>Aakash</v>
      </c>
      <c r="P3" t="str">
        <v>Sales</v>
      </c>
      <c r="Q3">
        <v>35</v>
      </c>
      <c r="R3">
        <v>50</v>
      </c>
      <c r="S3">
        <v>80</v>
      </c>
      <c r="T3">
        <v>4</v>
      </c>
    </row>
    <row r="4" spans="1:20" ht="15" thickBot="1" x14ac:dyDescent="0.35">
      <c r="A4" s="4">
        <v>115</v>
      </c>
      <c r="B4" s="5" t="s">
        <v>26</v>
      </c>
      <c r="C4" s="5" t="s">
        <v>14</v>
      </c>
      <c r="D4" s="5">
        <v>48</v>
      </c>
      <c r="E4" s="5">
        <v>78</v>
      </c>
      <c r="F4" s="5">
        <v>98</v>
      </c>
      <c r="G4" s="8">
        <v>5</v>
      </c>
      <c r="H4" s="8">
        <f t="shared" ref="H4:H26" si="3" xml:space="preserve"> (F4*G4)/D4</f>
        <v>10.208333333333334</v>
      </c>
      <c r="I4" s="8">
        <f t="shared" si="0"/>
        <v>0.9511769122099909</v>
      </c>
      <c r="J4" s="8">
        <f t="shared" si="1"/>
        <v>0.95633286989405208</v>
      </c>
      <c r="K4" s="8">
        <f t="shared" si="2"/>
        <v>1.625</v>
      </c>
      <c r="N4">
        <v>120</v>
      </c>
      <c r="O4" t="str">
        <v>Suman</v>
      </c>
      <c r="P4" t="str">
        <v>Sales</v>
      </c>
      <c r="Q4">
        <v>36</v>
      </c>
      <c r="R4">
        <v>52</v>
      </c>
      <c r="S4">
        <v>78</v>
      </c>
      <c r="T4">
        <v>4</v>
      </c>
    </row>
    <row r="5" spans="1:20" ht="15" thickBot="1" x14ac:dyDescent="0.35">
      <c r="A5" s="4">
        <v>123</v>
      </c>
      <c r="B5" s="5" t="s">
        <v>34</v>
      </c>
      <c r="C5" s="5" t="s">
        <v>10</v>
      </c>
      <c r="D5" s="5">
        <v>46</v>
      </c>
      <c r="E5" s="5">
        <v>77</v>
      </c>
      <c r="F5" s="5">
        <v>96</v>
      </c>
      <c r="G5" s="8">
        <v>5</v>
      </c>
      <c r="H5" s="8">
        <f t="shared" si="3"/>
        <v>10.434782608695652</v>
      </c>
      <c r="I5" s="8">
        <f t="shared" si="0"/>
        <v>0.95419577647698561</v>
      </c>
      <c r="J5" s="8">
        <f t="shared" si="1"/>
        <v>0.95487001919388192</v>
      </c>
      <c r="K5" s="8">
        <f t="shared" si="2"/>
        <v>1.673913043478261</v>
      </c>
    </row>
    <row r="6" spans="1:20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7">
        <v>95</v>
      </c>
      <c r="G6" s="9">
        <v>5</v>
      </c>
      <c r="H6" s="9">
        <f t="shared" si="3"/>
        <v>10.555555555555555</v>
      </c>
      <c r="I6" s="9">
        <f t="shared" si="0"/>
        <v>0.95262794416288232</v>
      </c>
      <c r="J6" s="9">
        <f t="shared" si="1"/>
        <v>0.95254827981984858</v>
      </c>
      <c r="K6" s="9">
        <f t="shared" si="2"/>
        <v>1.6666666666666667</v>
      </c>
    </row>
    <row r="7" spans="1:20" ht="15" thickBot="1" x14ac:dyDescent="0.35">
      <c r="A7" s="6">
        <v>112</v>
      </c>
      <c r="B7" s="7" t="s">
        <v>23</v>
      </c>
      <c r="C7" s="7" t="s">
        <v>10</v>
      </c>
      <c r="D7" s="7">
        <v>44</v>
      </c>
      <c r="E7" s="7">
        <v>73</v>
      </c>
      <c r="F7" s="7">
        <v>94</v>
      </c>
      <c r="G7" s="9">
        <v>5</v>
      </c>
      <c r="H7" s="9">
        <f t="shared" si="3"/>
        <v>10.681818181818182</v>
      </c>
      <c r="I7" s="9">
        <f t="shared" si="0"/>
        <v>0.94871152833151984</v>
      </c>
      <c r="J7" s="9">
        <f t="shared" si="1"/>
        <v>0.94817671347198729</v>
      </c>
      <c r="K7" s="9">
        <f t="shared" si="2"/>
        <v>1.6590909090909092</v>
      </c>
    </row>
    <row r="8" spans="1:20" ht="15" thickBot="1" x14ac:dyDescent="0.35">
      <c r="A8" s="6">
        <v>118</v>
      </c>
      <c r="B8" s="7" t="s">
        <v>29</v>
      </c>
      <c r="C8" s="7" t="s">
        <v>10</v>
      </c>
      <c r="D8" s="7">
        <v>43</v>
      </c>
      <c r="E8" s="7">
        <v>75</v>
      </c>
      <c r="F8" s="7">
        <v>93</v>
      </c>
      <c r="G8" s="9">
        <v>5</v>
      </c>
      <c r="H8" s="9">
        <f t="shared" si="3"/>
        <v>10.813953488372093</v>
      </c>
      <c r="I8" s="9">
        <f t="shared" si="0"/>
        <v>0.94191917914539158</v>
      </c>
      <c r="J8" s="9">
        <f t="shared" si="1"/>
        <v>0.94120776735576561</v>
      </c>
      <c r="K8" s="9">
        <f t="shared" si="2"/>
        <v>1.7441860465116279</v>
      </c>
    </row>
    <row r="9" spans="1:20" ht="15" thickBot="1" x14ac:dyDescent="0.35">
      <c r="A9" s="4">
        <v>109</v>
      </c>
      <c r="B9" s="5" t="s">
        <v>20</v>
      </c>
      <c r="C9" s="5" t="s">
        <v>10</v>
      </c>
      <c r="D9" s="5">
        <v>42</v>
      </c>
      <c r="E9" s="5">
        <v>70</v>
      </c>
      <c r="F9" s="5">
        <v>92</v>
      </c>
      <c r="G9" s="8">
        <v>5</v>
      </c>
      <c r="H9" s="8">
        <f t="shared" si="3"/>
        <v>10.952380952380953</v>
      </c>
      <c r="I9" s="8">
        <f t="shared" si="0"/>
        <v>0.93180385467243954</v>
      </c>
      <c r="J9" s="8">
        <f t="shared" si="1"/>
        <v>0.93263748940019231</v>
      </c>
      <c r="K9" s="8">
        <f t="shared" si="2"/>
        <v>1.6666666666666667</v>
      </c>
    </row>
    <row r="10" spans="1:20" ht="15" thickBot="1" x14ac:dyDescent="0.35">
      <c r="A10" s="6">
        <v>102</v>
      </c>
      <c r="B10" s="7" t="s">
        <v>9</v>
      </c>
      <c r="C10" s="7" t="s">
        <v>10</v>
      </c>
      <c r="D10" s="7">
        <v>40</v>
      </c>
      <c r="E10" s="7">
        <v>65</v>
      </c>
      <c r="F10" s="7">
        <v>90</v>
      </c>
      <c r="G10" s="9">
        <v>5</v>
      </c>
      <c r="H10" s="9">
        <f t="shared" si="3"/>
        <v>11.25</v>
      </c>
      <c r="I10" s="9">
        <f t="shared" si="0"/>
        <v>0.91855865354369193</v>
      </c>
      <c r="J10" s="9">
        <f t="shared" si="1"/>
        <v>0.9162979947966603</v>
      </c>
      <c r="K10" s="9">
        <f t="shared" si="2"/>
        <v>1.625</v>
      </c>
    </row>
    <row r="11" spans="1:20" ht="15" thickBot="1" x14ac:dyDescent="0.35">
      <c r="A11" s="6">
        <v>114</v>
      </c>
      <c r="B11" s="7" t="s">
        <v>25</v>
      </c>
      <c r="C11" s="7" t="s">
        <v>8</v>
      </c>
      <c r="D11" s="7">
        <v>41</v>
      </c>
      <c r="E11" s="7">
        <v>66</v>
      </c>
      <c r="F11" s="7">
        <v>89</v>
      </c>
      <c r="G11" s="9">
        <v>4</v>
      </c>
      <c r="H11" s="9">
        <f t="shared" si="3"/>
        <v>8.6829268292682933</v>
      </c>
      <c r="I11" s="9">
        <f t="shared" si="0"/>
        <v>0.91808339364110925</v>
      </c>
      <c r="J11" s="9">
        <f t="shared" si="1"/>
        <v>0.90121359496370546</v>
      </c>
      <c r="K11" s="9">
        <f t="shared" si="2"/>
        <v>1.6097560975609757</v>
      </c>
    </row>
    <row r="12" spans="1:20" ht="15" thickBot="1" x14ac:dyDescent="0.35">
      <c r="A12" s="4">
        <v>119</v>
      </c>
      <c r="B12" s="5" t="s">
        <v>30</v>
      </c>
      <c r="C12" s="5" t="s">
        <v>14</v>
      </c>
      <c r="D12" s="5">
        <v>39</v>
      </c>
      <c r="E12" s="5">
        <v>60</v>
      </c>
      <c r="F12" s="5">
        <v>87</v>
      </c>
      <c r="G12" s="8">
        <v>4</v>
      </c>
      <c r="H12" s="8">
        <f t="shared" si="3"/>
        <v>8.9230769230769234</v>
      </c>
      <c r="I12" s="8">
        <f t="shared" si="0"/>
        <v>0.92407256128626969</v>
      </c>
      <c r="J12" s="8">
        <f t="shared" si="1"/>
        <v>0.91550217763929487</v>
      </c>
      <c r="K12" s="8">
        <f t="shared" si="2"/>
        <v>1.5384615384615385</v>
      </c>
    </row>
    <row r="13" spans="1:20" ht="15" thickBot="1" x14ac:dyDescent="0.35">
      <c r="A13" s="6">
        <v>106</v>
      </c>
      <c r="B13" s="7" t="s">
        <v>17</v>
      </c>
      <c r="C13" s="7" t="s">
        <v>8</v>
      </c>
      <c r="D13" s="7">
        <v>38</v>
      </c>
      <c r="E13" s="7">
        <v>58</v>
      </c>
      <c r="F13" s="7">
        <v>85</v>
      </c>
      <c r="G13" s="9">
        <v>4</v>
      </c>
      <c r="H13" s="9">
        <f t="shared" si="3"/>
        <v>8.9473684210526319</v>
      </c>
      <c r="I13" s="9">
        <f t="shared" si="0"/>
        <v>0.9193488023921893</v>
      </c>
      <c r="J13" s="9">
        <f t="shared" si="1"/>
        <v>0.91267501584713218</v>
      </c>
      <c r="K13" s="9">
        <f t="shared" si="2"/>
        <v>1.5263157894736843</v>
      </c>
    </row>
    <row r="14" spans="1:20" ht="15" thickBot="1" x14ac:dyDescent="0.35">
      <c r="A14" s="6">
        <v>110</v>
      </c>
      <c r="B14" s="7" t="s">
        <v>21</v>
      </c>
      <c r="C14" s="7" t="s">
        <v>8</v>
      </c>
      <c r="D14" s="7">
        <v>37</v>
      </c>
      <c r="E14" s="7">
        <v>55</v>
      </c>
      <c r="F14" s="7">
        <v>83</v>
      </c>
      <c r="G14" s="9">
        <v>4</v>
      </c>
      <c r="H14" s="9">
        <f t="shared" si="3"/>
        <v>8.9729729729729737</v>
      </c>
      <c r="I14" s="9">
        <f t="shared" si="0"/>
        <v>0.90784129900320354</v>
      </c>
      <c r="J14" s="9">
        <f t="shared" si="1"/>
        <v>0.9039727321400427</v>
      </c>
      <c r="K14" s="9">
        <f t="shared" si="2"/>
        <v>1.4864864864864864</v>
      </c>
    </row>
    <row r="15" spans="1:20" ht="15" thickBot="1" x14ac:dyDescent="0.35">
      <c r="A15" s="4">
        <v>101</v>
      </c>
      <c r="B15" s="5" t="s">
        <v>7</v>
      </c>
      <c r="C15" s="5" t="s">
        <v>8</v>
      </c>
      <c r="D15" s="5">
        <v>35</v>
      </c>
      <c r="E15" s="5">
        <v>50</v>
      </c>
      <c r="F15" s="5">
        <v>80</v>
      </c>
      <c r="G15" s="8">
        <v>4</v>
      </c>
      <c r="H15" s="8">
        <f t="shared" si="3"/>
        <v>9.1428571428571423</v>
      </c>
      <c r="I15" s="8">
        <f t="shared" si="0"/>
        <v>0.88626675923201359</v>
      </c>
      <c r="J15" s="8">
        <f t="shared" si="1"/>
        <v>0.88184017160801487</v>
      </c>
      <c r="K15" s="8">
        <f t="shared" si="2"/>
        <v>1.4285714285714286</v>
      </c>
    </row>
    <row r="16" spans="1:20" ht="15" thickBot="1" x14ac:dyDescent="0.35">
      <c r="A16" s="6">
        <v>120</v>
      </c>
      <c r="B16" s="7" t="s">
        <v>31</v>
      </c>
      <c r="C16" s="7" t="s">
        <v>8</v>
      </c>
      <c r="D16" s="7">
        <v>36</v>
      </c>
      <c r="E16" s="7">
        <v>52</v>
      </c>
      <c r="F16" s="7">
        <v>78</v>
      </c>
      <c r="G16" s="9">
        <v>4</v>
      </c>
      <c r="H16" s="9">
        <f t="shared" si="3"/>
        <v>8.6666666666666661</v>
      </c>
      <c r="I16" s="9">
        <f t="shared" si="0"/>
        <v>0.86710996952412023</v>
      </c>
      <c r="J16" s="9">
        <f t="shared" si="1"/>
        <v>0.85989481166996795</v>
      </c>
      <c r="K16" s="9">
        <f t="shared" si="2"/>
        <v>1.4444444444444444</v>
      </c>
    </row>
    <row r="17" spans="1:11" ht="15" thickBot="1" x14ac:dyDescent="0.35">
      <c r="A17" s="6">
        <v>124</v>
      </c>
      <c r="B17" s="7" t="s">
        <v>35</v>
      </c>
      <c r="C17" s="7" t="s">
        <v>8</v>
      </c>
      <c r="D17" s="7">
        <v>34</v>
      </c>
      <c r="E17" s="7">
        <v>48</v>
      </c>
      <c r="F17" s="7">
        <v>76</v>
      </c>
      <c r="G17" s="9">
        <v>3</v>
      </c>
      <c r="H17" s="9">
        <f t="shared" si="3"/>
        <v>6.7058823529411766</v>
      </c>
      <c r="I17" s="9">
        <f t="shared" si="0"/>
        <v>0.7977240352174656</v>
      </c>
      <c r="J17" s="9">
        <f t="shared" si="1"/>
        <v>0.78255750996409246</v>
      </c>
      <c r="K17" s="9">
        <f t="shared" si="2"/>
        <v>1.411764705882353</v>
      </c>
    </row>
    <row r="18" spans="1:11" ht="15" thickBot="1" x14ac:dyDescent="0.35">
      <c r="A18" s="4">
        <v>113</v>
      </c>
      <c r="B18" s="5" t="s">
        <v>24</v>
      </c>
      <c r="C18" s="5" t="s">
        <v>12</v>
      </c>
      <c r="D18" s="5">
        <v>33</v>
      </c>
      <c r="E18" s="5">
        <v>45</v>
      </c>
      <c r="F18" s="5">
        <v>75</v>
      </c>
      <c r="G18" s="8">
        <v>3</v>
      </c>
      <c r="H18" s="8">
        <f t="shared" si="3"/>
        <v>6.8181818181818183</v>
      </c>
      <c r="I18" s="8">
        <f t="shared" si="0"/>
        <v>0.82158383625774911</v>
      </c>
      <c r="J18" s="8">
        <f t="shared" si="1"/>
        <v>0.80895280867317154</v>
      </c>
      <c r="K18" s="8">
        <f t="shared" si="2"/>
        <v>1.3636363636363635</v>
      </c>
    </row>
    <row r="19" spans="1:11" ht="15" thickBot="1" x14ac:dyDescent="0.35">
      <c r="A19" s="6">
        <v>122</v>
      </c>
      <c r="B19" s="7" t="s">
        <v>33</v>
      </c>
      <c r="C19" s="7" t="s">
        <v>12</v>
      </c>
      <c r="D19" s="7">
        <v>32</v>
      </c>
      <c r="E19" s="7">
        <v>44</v>
      </c>
      <c r="F19" s="7">
        <v>74</v>
      </c>
      <c r="G19" s="9">
        <v>3</v>
      </c>
      <c r="H19" s="9">
        <f t="shared" si="3"/>
        <v>6.9375</v>
      </c>
      <c r="I19" s="9">
        <f t="shared" si="0"/>
        <v>0.84515425472851657</v>
      </c>
      <c r="J19" s="9">
        <f t="shared" si="1"/>
        <v>0.81706381019732011</v>
      </c>
      <c r="K19" s="9">
        <f t="shared" si="2"/>
        <v>1.375</v>
      </c>
    </row>
    <row r="20" spans="1:11" ht="15" thickBot="1" x14ac:dyDescent="0.35">
      <c r="A20" s="4">
        <v>117</v>
      </c>
      <c r="B20" s="5" t="s">
        <v>28</v>
      </c>
      <c r="C20" s="5" t="s">
        <v>12</v>
      </c>
      <c r="D20" s="5">
        <v>31</v>
      </c>
      <c r="E20" s="5">
        <v>42</v>
      </c>
      <c r="F20" s="5">
        <v>72</v>
      </c>
      <c r="G20" s="8">
        <v>3</v>
      </c>
      <c r="H20" s="8">
        <f t="shared" si="3"/>
        <v>6.967741935483871</v>
      </c>
      <c r="I20" s="8">
        <f t="shared" si="0"/>
        <v>0.8660254037844386</v>
      </c>
      <c r="J20" s="8">
        <f t="shared" si="1"/>
        <v>0.83191863039298308</v>
      </c>
      <c r="K20" s="8">
        <f t="shared" si="2"/>
        <v>1.3548387096774193</v>
      </c>
    </row>
    <row r="21" spans="1:11" ht="15" thickBot="1" x14ac:dyDescent="0.35">
      <c r="A21" s="4">
        <v>103</v>
      </c>
      <c r="B21" s="5" t="s">
        <v>11</v>
      </c>
      <c r="C21" s="5" t="s">
        <v>12</v>
      </c>
      <c r="D21" s="5">
        <v>30</v>
      </c>
      <c r="E21" s="5">
        <v>40</v>
      </c>
      <c r="F21" s="5">
        <v>70</v>
      </c>
      <c r="G21" s="8">
        <v>3</v>
      </c>
      <c r="H21" s="8">
        <f t="shared" si="3"/>
        <v>7</v>
      </c>
      <c r="I21" s="8">
        <f t="shared" si="0"/>
        <v>0.87831006565367986</v>
      </c>
      <c r="J21" s="8">
        <f t="shared" si="1"/>
        <v>0.83651531321870887</v>
      </c>
      <c r="K21" s="8">
        <f t="shared" si="2"/>
        <v>1.3333333333333333</v>
      </c>
    </row>
    <row r="22" spans="1:11" ht="15" thickBot="1" x14ac:dyDescent="0.35">
      <c r="A22" s="4">
        <v>111</v>
      </c>
      <c r="B22" s="5" t="s">
        <v>22</v>
      </c>
      <c r="C22" s="5" t="s">
        <v>16</v>
      </c>
      <c r="D22" s="5">
        <v>29</v>
      </c>
      <c r="E22" s="5">
        <v>38</v>
      </c>
      <c r="F22" s="5">
        <v>68</v>
      </c>
      <c r="G22" s="8">
        <v>3</v>
      </c>
      <c r="H22" s="8">
        <f t="shared" si="3"/>
        <v>7.0344827586206895</v>
      </c>
      <c r="I22" s="8">
        <f t="shared" si="0"/>
        <v>0.8660254037844386</v>
      </c>
      <c r="J22" s="8">
        <f t="shared" si="1"/>
        <v>0.81260450832894204</v>
      </c>
      <c r="K22" s="8">
        <f t="shared" si="2"/>
        <v>1.3103448275862069</v>
      </c>
    </row>
    <row r="23" spans="1:11" ht="15" thickBot="1" x14ac:dyDescent="0.35">
      <c r="A23" s="6">
        <v>108</v>
      </c>
      <c r="B23" s="7" t="s">
        <v>19</v>
      </c>
      <c r="C23" s="7" t="s">
        <v>12</v>
      </c>
      <c r="D23" s="7">
        <v>28</v>
      </c>
      <c r="E23" s="7">
        <v>35</v>
      </c>
      <c r="F23" s="7">
        <v>65</v>
      </c>
      <c r="G23" s="9">
        <v>3</v>
      </c>
      <c r="H23" s="9">
        <f t="shared" si="3"/>
        <v>6.9642857142857144</v>
      </c>
      <c r="I23" s="9">
        <f t="shared" si="0"/>
        <v>0.7745966692414834</v>
      </c>
      <c r="J23" s="9">
        <f t="shared" si="1"/>
        <v>0.67648142520254606</v>
      </c>
      <c r="K23" s="9">
        <f t="shared" si="2"/>
        <v>1.25</v>
      </c>
    </row>
    <row r="24" spans="1:11" ht="15" thickBot="1" x14ac:dyDescent="0.35">
      <c r="A24" s="4">
        <v>121</v>
      </c>
      <c r="B24" s="5" t="s">
        <v>32</v>
      </c>
      <c r="C24" s="5" t="s">
        <v>16</v>
      </c>
      <c r="D24" s="5">
        <v>27</v>
      </c>
      <c r="E24" s="5">
        <v>34</v>
      </c>
      <c r="F24" s="5">
        <v>64</v>
      </c>
      <c r="G24" s="8">
        <v>2</v>
      </c>
      <c r="H24" s="8">
        <f t="shared" si="3"/>
        <v>4.7407407407407405</v>
      </c>
      <c r="I24" s="8">
        <f t="shared" si="0"/>
        <v>0</v>
      </c>
      <c r="J24" s="8">
        <f t="shared" si="1"/>
        <v>0</v>
      </c>
      <c r="K24" s="8">
        <f t="shared" si="2"/>
        <v>1.2592592592592593</v>
      </c>
    </row>
    <row r="25" spans="1:11" ht="15" thickBot="1" x14ac:dyDescent="0.35">
      <c r="A25" s="6">
        <v>116</v>
      </c>
      <c r="B25" s="7" t="s">
        <v>27</v>
      </c>
      <c r="C25" s="7" t="s">
        <v>16</v>
      </c>
      <c r="D25" s="7">
        <v>26</v>
      </c>
      <c r="E25" s="7">
        <v>32</v>
      </c>
      <c r="F25" s="7">
        <v>62</v>
      </c>
      <c r="G25" s="9">
        <v>2</v>
      </c>
      <c r="H25" s="9">
        <f t="shared" si="3"/>
        <v>4.7692307692307692</v>
      </c>
      <c r="I25" s="9">
        <f t="shared" si="0"/>
        <v>0</v>
      </c>
      <c r="J25" s="9">
        <f t="shared" si="1"/>
        <v>0</v>
      </c>
      <c r="K25" s="9">
        <f t="shared" si="2"/>
        <v>1.2307692307692308</v>
      </c>
    </row>
    <row r="26" spans="1:11" ht="15" thickBot="1" x14ac:dyDescent="0.35">
      <c r="A26" s="4">
        <v>105</v>
      </c>
      <c r="B26" s="5" t="s">
        <v>15</v>
      </c>
      <c r="C26" s="5" t="s">
        <v>16</v>
      </c>
      <c r="D26" s="5">
        <v>25</v>
      </c>
      <c r="E26" s="5">
        <v>30</v>
      </c>
      <c r="F26" s="5">
        <v>60</v>
      </c>
      <c r="G26" s="8">
        <v>2</v>
      </c>
      <c r="H26" s="8">
        <f t="shared" si="3"/>
        <v>4.8</v>
      </c>
      <c r="I26" s="8">
        <f t="shared" si="0"/>
        <v>0</v>
      </c>
      <c r="J26" s="8">
        <f t="shared" si="1"/>
        <v>0</v>
      </c>
      <c r="K26" s="8">
        <f t="shared" si="2"/>
        <v>1.2</v>
      </c>
    </row>
    <row r="27" spans="1:11" ht="15" thickBot="1" x14ac:dyDescent="0.35">
      <c r="H27" s="8"/>
    </row>
    <row r="28" spans="1:11" ht="15" thickBot="1" x14ac:dyDescent="0.35">
      <c r="H28" s="8"/>
    </row>
    <row r="29" spans="1:11" ht="15" thickBot="1" x14ac:dyDescent="0.35">
      <c r="H29" s="8"/>
    </row>
  </sheetData>
  <sortState xmlns:xlrd2="http://schemas.microsoft.com/office/spreadsheetml/2017/richdata2" ref="A2:G26">
    <sortCondition descending="1" ref="F2:F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73DF-D6FF-4461-B141-0D5231F660E0}">
  <dimension ref="A1:N56"/>
  <sheetViews>
    <sheetView tabSelected="1" topLeftCell="C13" zoomScale="59" workbookViewId="0">
      <selection activeCell="V23" sqref="V23"/>
    </sheetView>
  </sheetViews>
  <sheetFormatPr defaultRowHeight="14.4" x14ac:dyDescent="0.3"/>
  <cols>
    <col min="2" max="2" width="16.33203125" customWidth="1"/>
    <col min="5" max="5" width="19.21875" customWidth="1"/>
    <col min="6" max="6" width="14" customWidth="1"/>
    <col min="7" max="7" width="13.5546875" customWidth="1"/>
    <col min="8" max="8" width="12.6640625" customWidth="1"/>
    <col min="9" max="10" width="11" customWidth="1"/>
    <col min="11" max="11" width="17.88671875" customWidth="1"/>
    <col min="12" max="12" width="28" bestFit="1" customWidth="1"/>
    <col min="13" max="13" width="12.5546875" bestFit="1" customWidth="1"/>
    <col min="14" max="14" width="20.21875" bestFit="1" customWidth="1"/>
    <col min="15" max="15" width="12.5546875" bestFit="1" customWidth="1"/>
    <col min="16" max="16" width="22" bestFit="1" customWidth="1"/>
  </cols>
  <sheetData>
    <row r="1" spans="1:14" ht="23.4" customHeight="1" thickBot="1" x14ac:dyDescent="0.35">
      <c r="A1" s="19" t="s">
        <v>149</v>
      </c>
      <c r="B1" s="12" t="s">
        <v>42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4" t="s">
        <v>51</v>
      </c>
      <c r="L1" s="20" t="s">
        <v>150</v>
      </c>
      <c r="M1" s="21" t="s">
        <v>151</v>
      </c>
      <c r="N1" s="21" t="s">
        <v>157</v>
      </c>
    </row>
    <row r="2" spans="1:14" ht="29.4" thickBot="1" x14ac:dyDescent="0.35">
      <c r="A2" s="15" t="s">
        <v>52</v>
      </c>
      <c r="B2" s="15" t="s">
        <v>53</v>
      </c>
      <c r="C2" s="16">
        <v>59</v>
      </c>
      <c r="D2" s="15" t="s">
        <v>54</v>
      </c>
      <c r="E2" s="15" t="s">
        <v>55</v>
      </c>
      <c r="F2" s="17">
        <v>45235</v>
      </c>
      <c r="G2" s="17">
        <v>45425</v>
      </c>
      <c r="H2" s="16">
        <v>800</v>
      </c>
      <c r="I2" s="16">
        <v>25</v>
      </c>
      <c r="J2" s="15" t="s">
        <v>56</v>
      </c>
      <c r="K2" s="18" t="s">
        <v>57</v>
      </c>
      <c r="L2">
        <f>INT((G2 - F2)/30)</f>
        <v>6</v>
      </c>
      <c r="M2" t="str">
        <f>IF(K2&lt;&gt;"","Yes","No")</f>
        <v>Yes</v>
      </c>
      <c r="N2">
        <f>H2 * L2</f>
        <v>4800</v>
      </c>
    </row>
    <row r="3" spans="1:14" ht="29.4" thickBot="1" x14ac:dyDescent="0.35">
      <c r="A3" s="15" t="s">
        <v>58</v>
      </c>
      <c r="B3" s="15" t="s">
        <v>59</v>
      </c>
      <c r="C3" s="16">
        <v>27</v>
      </c>
      <c r="D3" s="15" t="s">
        <v>54</v>
      </c>
      <c r="E3" s="15" t="s">
        <v>55</v>
      </c>
      <c r="F3" s="17">
        <v>45714</v>
      </c>
      <c r="G3" s="17">
        <v>45740</v>
      </c>
      <c r="H3" s="16">
        <v>800</v>
      </c>
      <c r="I3" s="16">
        <v>20</v>
      </c>
      <c r="J3" s="15" t="s">
        <v>60</v>
      </c>
      <c r="K3" s="18" t="s">
        <v>61</v>
      </c>
      <c r="L3">
        <f t="shared" ref="L3:L36" si="0">INT((G3 - F3)/30)</f>
        <v>0</v>
      </c>
      <c r="M3" t="str">
        <f t="shared" ref="M3:M36" si="1">IF(K3&lt;&gt;"","Yes","No")</f>
        <v>Yes</v>
      </c>
      <c r="N3">
        <f t="shared" ref="N3:N36" si="2">H3 * L3</f>
        <v>0</v>
      </c>
    </row>
    <row r="4" spans="1:14" ht="29.4" thickBot="1" x14ac:dyDescent="0.35">
      <c r="A4" s="15" t="s">
        <v>62</v>
      </c>
      <c r="B4" s="15" t="s">
        <v>63</v>
      </c>
      <c r="C4" s="16">
        <v>24</v>
      </c>
      <c r="D4" s="15" t="s">
        <v>54</v>
      </c>
      <c r="E4" s="15" t="s">
        <v>64</v>
      </c>
      <c r="F4" s="17">
        <v>45191</v>
      </c>
      <c r="G4" s="17">
        <v>45371</v>
      </c>
      <c r="H4" s="16">
        <v>1200</v>
      </c>
      <c r="I4" s="16">
        <v>18</v>
      </c>
      <c r="J4" s="15" t="s">
        <v>65</v>
      </c>
      <c r="K4" s="18" t="s">
        <v>66</v>
      </c>
      <c r="L4">
        <f t="shared" si="0"/>
        <v>6</v>
      </c>
      <c r="M4" t="str">
        <f t="shared" si="1"/>
        <v>Yes</v>
      </c>
      <c r="N4">
        <f t="shared" si="2"/>
        <v>7200</v>
      </c>
    </row>
    <row r="5" spans="1:14" ht="29.4" thickBot="1" x14ac:dyDescent="0.35">
      <c r="A5" s="15" t="s">
        <v>67</v>
      </c>
      <c r="B5" s="15" t="s">
        <v>68</v>
      </c>
      <c r="C5" s="16">
        <v>31</v>
      </c>
      <c r="D5" s="15" t="s">
        <v>69</v>
      </c>
      <c r="E5" s="15" t="s">
        <v>64</v>
      </c>
      <c r="F5" s="17">
        <v>45479</v>
      </c>
      <c r="G5" s="17">
        <v>45587</v>
      </c>
      <c r="H5" s="16">
        <v>1200</v>
      </c>
      <c r="I5" s="16">
        <v>16</v>
      </c>
      <c r="J5" s="15" t="s">
        <v>65</v>
      </c>
      <c r="K5" s="18" t="s">
        <v>70</v>
      </c>
      <c r="L5">
        <f t="shared" si="0"/>
        <v>3</v>
      </c>
      <c r="M5" t="str">
        <f t="shared" si="1"/>
        <v>Yes</v>
      </c>
      <c r="N5">
        <f t="shared" si="2"/>
        <v>3600</v>
      </c>
    </row>
    <row r="6" spans="1:14" ht="29.4" thickBot="1" x14ac:dyDescent="0.35">
      <c r="A6" s="15" t="s">
        <v>71</v>
      </c>
      <c r="B6" s="15" t="s">
        <v>72</v>
      </c>
      <c r="C6" s="16">
        <v>19</v>
      </c>
      <c r="D6" s="15" t="s">
        <v>54</v>
      </c>
      <c r="E6" s="15" t="s">
        <v>73</v>
      </c>
      <c r="F6" s="17">
        <v>45286</v>
      </c>
      <c r="G6" s="17">
        <v>45501</v>
      </c>
      <c r="H6" s="16">
        <v>2500</v>
      </c>
      <c r="I6" s="16">
        <v>12</v>
      </c>
      <c r="J6" s="15" t="s">
        <v>56</v>
      </c>
      <c r="K6" s="18" t="s">
        <v>74</v>
      </c>
      <c r="L6">
        <f t="shared" si="0"/>
        <v>7</v>
      </c>
      <c r="M6" t="str">
        <f t="shared" si="1"/>
        <v>Yes</v>
      </c>
      <c r="N6">
        <f t="shared" si="2"/>
        <v>17500</v>
      </c>
    </row>
    <row r="7" spans="1:14" ht="29.4" thickBot="1" x14ac:dyDescent="0.35">
      <c r="A7" s="15" t="s">
        <v>75</v>
      </c>
      <c r="B7" s="15" t="s">
        <v>76</v>
      </c>
      <c r="C7" s="16">
        <v>40</v>
      </c>
      <c r="D7" s="15" t="s">
        <v>54</v>
      </c>
      <c r="E7" s="15" t="s">
        <v>55</v>
      </c>
      <c r="F7" s="17">
        <v>45317</v>
      </c>
      <c r="G7" s="17">
        <v>45392</v>
      </c>
      <c r="H7" s="16">
        <v>800</v>
      </c>
      <c r="I7" s="16">
        <v>14</v>
      </c>
      <c r="J7" s="15" t="s">
        <v>77</v>
      </c>
      <c r="K7" s="18" t="s">
        <v>78</v>
      </c>
      <c r="L7">
        <f t="shared" si="0"/>
        <v>2</v>
      </c>
      <c r="M7" t="str">
        <f t="shared" si="1"/>
        <v>Yes</v>
      </c>
      <c r="N7">
        <f t="shared" si="2"/>
        <v>1600</v>
      </c>
    </row>
    <row r="8" spans="1:14" ht="29.4" thickBot="1" x14ac:dyDescent="0.35">
      <c r="A8" s="15" t="s">
        <v>79</v>
      </c>
      <c r="B8" s="15" t="s">
        <v>80</v>
      </c>
      <c r="C8" s="16">
        <v>41</v>
      </c>
      <c r="D8" s="15" t="s">
        <v>69</v>
      </c>
      <c r="E8" s="15" t="s">
        <v>55</v>
      </c>
      <c r="F8" s="17">
        <v>45588</v>
      </c>
      <c r="G8" s="17">
        <v>45677</v>
      </c>
      <c r="H8" s="16">
        <v>800</v>
      </c>
      <c r="I8" s="16">
        <v>25</v>
      </c>
      <c r="J8" s="15" t="s">
        <v>60</v>
      </c>
      <c r="K8" s="15"/>
      <c r="L8">
        <f t="shared" si="0"/>
        <v>2</v>
      </c>
      <c r="M8" t="str">
        <f t="shared" si="1"/>
        <v>No</v>
      </c>
      <c r="N8">
        <f t="shared" si="2"/>
        <v>1600</v>
      </c>
    </row>
    <row r="9" spans="1:14" ht="29.4" thickBot="1" x14ac:dyDescent="0.35">
      <c r="A9" s="15" t="s">
        <v>81</v>
      </c>
      <c r="B9" s="15" t="s">
        <v>82</v>
      </c>
      <c r="C9" s="16">
        <v>43</v>
      </c>
      <c r="D9" s="15" t="s">
        <v>54</v>
      </c>
      <c r="E9" s="15" t="s">
        <v>83</v>
      </c>
      <c r="F9" s="17">
        <v>45450</v>
      </c>
      <c r="G9" s="17">
        <v>45563</v>
      </c>
      <c r="H9" s="16">
        <v>1800</v>
      </c>
      <c r="I9" s="16">
        <v>28</v>
      </c>
      <c r="J9" s="15" t="s">
        <v>84</v>
      </c>
      <c r="K9" s="15"/>
      <c r="L9">
        <f t="shared" si="0"/>
        <v>3</v>
      </c>
      <c r="M9" t="str">
        <f t="shared" si="1"/>
        <v>No</v>
      </c>
      <c r="N9">
        <f t="shared" si="2"/>
        <v>5400</v>
      </c>
    </row>
    <row r="10" spans="1:14" ht="29.4" thickBot="1" x14ac:dyDescent="0.35">
      <c r="A10" s="15" t="s">
        <v>85</v>
      </c>
      <c r="B10" s="15" t="s">
        <v>86</v>
      </c>
      <c r="C10" s="16">
        <v>42</v>
      </c>
      <c r="D10" s="15" t="s">
        <v>54</v>
      </c>
      <c r="E10" s="15" t="s">
        <v>55</v>
      </c>
      <c r="F10" s="17">
        <v>45569</v>
      </c>
      <c r="G10" s="17">
        <v>45582</v>
      </c>
      <c r="H10" s="16">
        <v>800</v>
      </c>
      <c r="I10" s="16">
        <v>3</v>
      </c>
      <c r="J10" s="15" t="s">
        <v>84</v>
      </c>
      <c r="K10" s="18" t="s">
        <v>87</v>
      </c>
      <c r="L10">
        <f t="shared" si="0"/>
        <v>0</v>
      </c>
      <c r="M10" t="str">
        <f t="shared" si="1"/>
        <v>Yes</v>
      </c>
      <c r="N10">
        <f t="shared" si="2"/>
        <v>0</v>
      </c>
    </row>
    <row r="11" spans="1:14" ht="29.4" thickBot="1" x14ac:dyDescent="0.35">
      <c r="A11" s="15" t="s">
        <v>88</v>
      </c>
      <c r="B11" s="15" t="s">
        <v>89</v>
      </c>
      <c r="C11" s="16">
        <v>37</v>
      </c>
      <c r="D11" s="15" t="s">
        <v>54</v>
      </c>
      <c r="E11" s="15" t="s">
        <v>64</v>
      </c>
      <c r="F11" s="17">
        <v>45202</v>
      </c>
      <c r="G11" s="17">
        <v>45280</v>
      </c>
      <c r="H11" s="16">
        <v>1200</v>
      </c>
      <c r="I11" s="16">
        <v>29</v>
      </c>
      <c r="J11" s="15" t="s">
        <v>77</v>
      </c>
      <c r="K11" s="18" t="s">
        <v>90</v>
      </c>
      <c r="L11">
        <f t="shared" si="0"/>
        <v>2</v>
      </c>
      <c r="M11" t="str">
        <f t="shared" si="1"/>
        <v>Yes</v>
      </c>
      <c r="N11">
        <f t="shared" si="2"/>
        <v>2400</v>
      </c>
    </row>
    <row r="12" spans="1:14" ht="29.4" thickBot="1" x14ac:dyDescent="0.35">
      <c r="A12" s="15" t="s">
        <v>91</v>
      </c>
      <c r="B12" s="15" t="s">
        <v>92</v>
      </c>
      <c r="C12" s="16">
        <v>48</v>
      </c>
      <c r="D12" s="15" t="s">
        <v>69</v>
      </c>
      <c r="E12" s="15" t="s">
        <v>64</v>
      </c>
      <c r="F12" s="17">
        <v>45297</v>
      </c>
      <c r="G12" s="17">
        <v>45459</v>
      </c>
      <c r="H12" s="16">
        <v>1200</v>
      </c>
      <c r="I12" s="16">
        <v>13</v>
      </c>
      <c r="J12" s="15" t="s">
        <v>56</v>
      </c>
      <c r="K12" s="18" t="s">
        <v>93</v>
      </c>
      <c r="L12">
        <f t="shared" si="0"/>
        <v>5</v>
      </c>
      <c r="M12" t="str">
        <f t="shared" si="1"/>
        <v>Yes</v>
      </c>
      <c r="N12">
        <f t="shared" si="2"/>
        <v>6000</v>
      </c>
    </row>
    <row r="13" spans="1:14" ht="29.4" thickBot="1" x14ac:dyDescent="0.35">
      <c r="A13" s="15" t="s">
        <v>94</v>
      </c>
      <c r="B13" s="15" t="s">
        <v>95</v>
      </c>
      <c r="C13" s="16">
        <v>36</v>
      </c>
      <c r="D13" s="15" t="s">
        <v>54</v>
      </c>
      <c r="E13" s="15" t="s">
        <v>64</v>
      </c>
      <c r="F13" s="17">
        <v>45154</v>
      </c>
      <c r="G13" s="17">
        <v>45568</v>
      </c>
      <c r="H13" s="16">
        <v>1200</v>
      </c>
      <c r="I13" s="16">
        <v>19</v>
      </c>
      <c r="J13" s="15" t="s">
        <v>84</v>
      </c>
      <c r="K13" s="18" t="s">
        <v>96</v>
      </c>
      <c r="L13">
        <f t="shared" si="0"/>
        <v>13</v>
      </c>
      <c r="M13" t="str">
        <f t="shared" si="1"/>
        <v>Yes</v>
      </c>
      <c r="N13">
        <f t="shared" si="2"/>
        <v>15600</v>
      </c>
    </row>
    <row r="14" spans="1:14" ht="29.4" thickBot="1" x14ac:dyDescent="0.35">
      <c r="A14" s="15" t="s">
        <v>97</v>
      </c>
      <c r="B14" s="15" t="s">
        <v>98</v>
      </c>
      <c r="C14" s="16">
        <v>48</v>
      </c>
      <c r="D14" s="15" t="s">
        <v>69</v>
      </c>
      <c r="E14" s="15" t="s">
        <v>83</v>
      </c>
      <c r="F14" s="17">
        <v>45556</v>
      </c>
      <c r="G14" s="17">
        <v>45641</v>
      </c>
      <c r="H14" s="16">
        <v>1800</v>
      </c>
      <c r="I14" s="16">
        <v>22</v>
      </c>
      <c r="J14" s="15" t="s">
        <v>84</v>
      </c>
      <c r="K14" s="15"/>
      <c r="L14">
        <f t="shared" si="0"/>
        <v>2</v>
      </c>
      <c r="M14" t="str">
        <f t="shared" si="1"/>
        <v>No</v>
      </c>
      <c r="N14">
        <f t="shared" si="2"/>
        <v>3600</v>
      </c>
    </row>
    <row r="15" spans="1:14" ht="15" thickBot="1" x14ac:dyDescent="0.35">
      <c r="A15" s="15" t="s">
        <v>99</v>
      </c>
      <c r="B15" s="15" t="s">
        <v>100</v>
      </c>
      <c r="C15" s="16">
        <v>39</v>
      </c>
      <c r="D15" s="15" t="s">
        <v>54</v>
      </c>
      <c r="E15" s="15" t="s">
        <v>64</v>
      </c>
      <c r="F15" s="17">
        <v>45065</v>
      </c>
      <c r="G15" s="17">
        <v>45242</v>
      </c>
      <c r="H15" s="16">
        <v>1200</v>
      </c>
      <c r="I15" s="16">
        <v>28</v>
      </c>
      <c r="J15" s="15" t="s">
        <v>77</v>
      </c>
      <c r="K15" s="15"/>
      <c r="L15">
        <f t="shared" si="0"/>
        <v>5</v>
      </c>
      <c r="M15" t="str">
        <f t="shared" si="1"/>
        <v>No</v>
      </c>
      <c r="N15">
        <f t="shared" si="2"/>
        <v>6000</v>
      </c>
    </row>
    <row r="16" spans="1:14" ht="29.4" thickBot="1" x14ac:dyDescent="0.35">
      <c r="A16" s="15" t="s">
        <v>101</v>
      </c>
      <c r="B16" s="15" t="s">
        <v>102</v>
      </c>
      <c r="C16" s="16">
        <v>44</v>
      </c>
      <c r="D16" s="15" t="s">
        <v>69</v>
      </c>
      <c r="E16" s="15" t="s">
        <v>55</v>
      </c>
      <c r="F16" s="17">
        <v>45333</v>
      </c>
      <c r="G16" s="17">
        <v>45540</v>
      </c>
      <c r="H16" s="16">
        <v>800</v>
      </c>
      <c r="I16" s="16">
        <v>8</v>
      </c>
      <c r="J16" s="18" t="s">
        <v>65</v>
      </c>
      <c r="K16" s="15"/>
      <c r="L16">
        <f t="shared" si="0"/>
        <v>6</v>
      </c>
      <c r="M16" t="str">
        <f t="shared" si="1"/>
        <v>No</v>
      </c>
      <c r="N16">
        <f t="shared" si="2"/>
        <v>4800</v>
      </c>
    </row>
    <row r="17" spans="1:14" ht="29.4" thickBot="1" x14ac:dyDescent="0.35">
      <c r="A17" s="15" t="s">
        <v>103</v>
      </c>
      <c r="B17" s="15" t="s">
        <v>104</v>
      </c>
      <c r="C17" s="16">
        <v>39</v>
      </c>
      <c r="D17" s="15" t="s">
        <v>54</v>
      </c>
      <c r="E17" s="15" t="s">
        <v>73</v>
      </c>
      <c r="F17" s="17">
        <v>45702</v>
      </c>
      <c r="G17" s="17">
        <v>45732</v>
      </c>
      <c r="H17" s="16">
        <v>2500</v>
      </c>
      <c r="I17" s="16">
        <v>14</v>
      </c>
      <c r="J17" s="15" t="s">
        <v>84</v>
      </c>
      <c r="K17" s="15"/>
      <c r="L17">
        <f t="shared" si="0"/>
        <v>1</v>
      </c>
      <c r="M17" t="str">
        <f t="shared" si="1"/>
        <v>No</v>
      </c>
      <c r="N17">
        <f t="shared" si="2"/>
        <v>2500</v>
      </c>
    </row>
    <row r="18" spans="1:14" ht="29.4" thickBot="1" x14ac:dyDescent="0.35">
      <c r="A18" s="15" t="s">
        <v>105</v>
      </c>
      <c r="B18" s="15" t="s">
        <v>106</v>
      </c>
      <c r="C18" s="16">
        <v>35</v>
      </c>
      <c r="D18" s="15" t="s">
        <v>54</v>
      </c>
      <c r="E18" s="15" t="s">
        <v>64</v>
      </c>
      <c r="F18" s="17">
        <v>45329</v>
      </c>
      <c r="G18" s="17">
        <v>45685</v>
      </c>
      <c r="H18" s="16">
        <v>1200</v>
      </c>
      <c r="I18" s="16">
        <v>25</v>
      </c>
      <c r="J18" s="18" t="s">
        <v>65</v>
      </c>
      <c r="K18" s="15"/>
      <c r="L18">
        <f t="shared" si="0"/>
        <v>11</v>
      </c>
      <c r="M18" t="str">
        <f t="shared" si="1"/>
        <v>No</v>
      </c>
      <c r="N18">
        <f t="shared" si="2"/>
        <v>13200</v>
      </c>
    </row>
    <row r="19" spans="1:14" ht="29.4" thickBot="1" x14ac:dyDescent="0.35">
      <c r="A19" s="15" t="s">
        <v>107</v>
      </c>
      <c r="B19" s="15" t="s">
        <v>108</v>
      </c>
      <c r="C19" s="16">
        <v>56</v>
      </c>
      <c r="D19" s="15" t="s">
        <v>69</v>
      </c>
      <c r="E19" s="15" t="s">
        <v>73</v>
      </c>
      <c r="F19" s="17">
        <v>45213</v>
      </c>
      <c r="G19" s="17">
        <v>45649</v>
      </c>
      <c r="H19" s="16">
        <v>2500</v>
      </c>
      <c r="I19" s="16">
        <v>13</v>
      </c>
      <c r="J19" s="15" t="s">
        <v>109</v>
      </c>
      <c r="K19" s="15"/>
      <c r="L19">
        <f t="shared" si="0"/>
        <v>14</v>
      </c>
      <c r="M19" t="str">
        <f t="shared" si="1"/>
        <v>No</v>
      </c>
      <c r="N19">
        <f t="shared" si="2"/>
        <v>35000</v>
      </c>
    </row>
    <row r="20" spans="1:14" ht="29.4" thickBot="1" x14ac:dyDescent="0.35">
      <c r="A20" s="15" t="s">
        <v>110</v>
      </c>
      <c r="B20" s="15" t="s">
        <v>111</v>
      </c>
      <c r="C20" s="16">
        <v>27</v>
      </c>
      <c r="D20" s="15" t="s">
        <v>69</v>
      </c>
      <c r="E20" s="15" t="s">
        <v>55</v>
      </c>
      <c r="F20" s="17">
        <v>45354</v>
      </c>
      <c r="G20" s="17">
        <v>45664</v>
      </c>
      <c r="H20" s="16">
        <v>800</v>
      </c>
      <c r="I20" s="16">
        <v>26</v>
      </c>
      <c r="J20" s="15" t="s">
        <v>77</v>
      </c>
      <c r="K20" s="15"/>
      <c r="L20">
        <f t="shared" si="0"/>
        <v>10</v>
      </c>
      <c r="M20" t="str">
        <f t="shared" si="1"/>
        <v>No</v>
      </c>
      <c r="N20">
        <f t="shared" si="2"/>
        <v>8000</v>
      </c>
    </row>
    <row r="21" spans="1:14" ht="29.4" thickBot="1" x14ac:dyDescent="0.35">
      <c r="A21" s="15" t="s">
        <v>112</v>
      </c>
      <c r="B21" s="15" t="s">
        <v>113</v>
      </c>
      <c r="C21" s="16">
        <v>28</v>
      </c>
      <c r="D21" s="15" t="s">
        <v>54</v>
      </c>
      <c r="E21" s="15" t="s">
        <v>73</v>
      </c>
      <c r="F21" s="17">
        <v>45417</v>
      </c>
      <c r="G21" s="17">
        <v>45608</v>
      </c>
      <c r="H21" s="16">
        <v>2500</v>
      </c>
      <c r="I21" s="16">
        <v>21</v>
      </c>
      <c r="J21" s="15" t="s">
        <v>77</v>
      </c>
      <c r="K21" s="18" t="s">
        <v>114</v>
      </c>
      <c r="L21">
        <f t="shared" si="0"/>
        <v>6</v>
      </c>
      <c r="M21" t="str">
        <f t="shared" si="1"/>
        <v>Yes</v>
      </c>
      <c r="N21">
        <f t="shared" si="2"/>
        <v>15000</v>
      </c>
    </row>
    <row r="22" spans="1:14" ht="29.4" thickBot="1" x14ac:dyDescent="0.35">
      <c r="A22" s="15" t="s">
        <v>115</v>
      </c>
      <c r="B22" s="15" t="s">
        <v>116</v>
      </c>
      <c r="C22" s="16">
        <v>57</v>
      </c>
      <c r="D22" s="15" t="s">
        <v>69</v>
      </c>
      <c r="E22" s="15" t="s">
        <v>83</v>
      </c>
      <c r="F22" s="17">
        <v>45146</v>
      </c>
      <c r="G22" s="17">
        <v>45674</v>
      </c>
      <c r="H22" s="16">
        <v>1800</v>
      </c>
      <c r="I22" s="16">
        <v>19</v>
      </c>
      <c r="J22" s="15" t="s">
        <v>77</v>
      </c>
      <c r="K22" s="15"/>
      <c r="L22">
        <f t="shared" si="0"/>
        <v>17</v>
      </c>
      <c r="M22" t="str">
        <f t="shared" si="1"/>
        <v>No</v>
      </c>
      <c r="N22">
        <f t="shared" si="2"/>
        <v>30600</v>
      </c>
    </row>
    <row r="23" spans="1:14" ht="29.4" thickBot="1" x14ac:dyDescent="0.35">
      <c r="A23" s="15" t="s">
        <v>117</v>
      </c>
      <c r="B23" s="15" t="s">
        <v>118</v>
      </c>
      <c r="C23" s="16">
        <v>26</v>
      </c>
      <c r="D23" s="15" t="s">
        <v>69</v>
      </c>
      <c r="E23" s="15" t="s">
        <v>83</v>
      </c>
      <c r="F23" s="17">
        <v>45320</v>
      </c>
      <c r="G23" s="17">
        <v>45616</v>
      </c>
      <c r="H23" s="16">
        <v>1800</v>
      </c>
      <c r="I23" s="16">
        <v>5</v>
      </c>
      <c r="J23" s="18" t="s">
        <v>56</v>
      </c>
      <c r="K23" s="15"/>
      <c r="L23">
        <f t="shared" si="0"/>
        <v>9</v>
      </c>
      <c r="M23" t="str">
        <f t="shared" si="1"/>
        <v>No</v>
      </c>
      <c r="N23">
        <f t="shared" si="2"/>
        <v>16200</v>
      </c>
    </row>
    <row r="24" spans="1:14" ht="15" thickBot="1" x14ac:dyDescent="0.35">
      <c r="A24" s="15" t="s">
        <v>119</v>
      </c>
      <c r="B24" s="15" t="s">
        <v>120</v>
      </c>
      <c r="C24" s="16">
        <v>48</v>
      </c>
      <c r="D24" s="15" t="s">
        <v>54</v>
      </c>
      <c r="E24" s="15" t="s">
        <v>83</v>
      </c>
      <c r="F24" s="17">
        <v>45451</v>
      </c>
      <c r="G24" s="17">
        <v>45455</v>
      </c>
      <c r="H24" s="16">
        <v>1800</v>
      </c>
      <c r="I24" s="16">
        <v>18</v>
      </c>
      <c r="J24" s="15" t="s">
        <v>109</v>
      </c>
      <c r="K24" s="15"/>
      <c r="L24">
        <f t="shared" si="0"/>
        <v>0</v>
      </c>
      <c r="M24" t="str">
        <f t="shared" si="1"/>
        <v>No</v>
      </c>
      <c r="N24">
        <f t="shared" si="2"/>
        <v>0</v>
      </c>
    </row>
    <row r="25" spans="1:14" ht="15" thickBot="1" x14ac:dyDescent="0.35">
      <c r="A25" s="15" t="s">
        <v>121</v>
      </c>
      <c r="B25" s="15" t="s">
        <v>122</v>
      </c>
      <c r="C25" s="16">
        <v>25</v>
      </c>
      <c r="D25" s="15" t="s">
        <v>69</v>
      </c>
      <c r="E25" s="15" t="s">
        <v>64</v>
      </c>
      <c r="F25" s="17">
        <v>45439</v>
      </c>
      <c r="G25" s="17">
        <v>45730</v>
      </c>
      <c r="H25" s="16">
        <v>1200</v>
      </c>
      <c r="I25" s="16">
        <v>6</v>
      </c>
      <c r="J25" s="18" t="s">
        <v>56</v>
      </c>
      <c r="K25" s="15"/>
      <c r="L25">
        <f t="shared" si="0"/>
        <v>9</v>
      </c>
      <c r="M25" t="str">
        <f t="shared" si="1"/>
        <v>No</v>
      </c>
      <c r="N25">
        <f t="shared" si="2"/>
        <v>10800</v>
      </c>
    </row>
    <row r="26" spans="1:14" ht="15" thickBot="1" x14ac:dyDescent="0.35">
      <c r="A26" s="15" t="s">
        <v>123</v>
      </c>
      <c r="B26" s="15" t="s">
        <v>124</v>
      </c>
      <c r="C26" s="16">
        <v>53</v>
      </c>
      <c r="D26" s="15" t="s">
        <v>54</v>
      </c>
      <c r="E26" s="15" t="s">
        <v>83</v>
      </c>
      <c r="F26" s="17">
        <v>45286</v>
      </c>
      <c r="G26" s="17">
        <v>45372</v>
      </c>
      <c r="H26" s="16">
        <v>1800</v>
      </c>
      <c r="I26" s="16">
        <v>17</v>
      </c>
      <c r="J26" s="15" t="s">
        <v>77</v>
      </c>
      <c r="K26" s="18" t="s">
        <v>125</v>
      </c>
      <c r="L26">
        <f t="shared" si="0"/>
        <v>2</v>
      </c>
      <c r="M26" t="str">
        <f t="shared" si="1"/>
        <v>Yes</v>
      </c>
      <c r="N26">
        <f t="shared" si="2"/>
        <v>3600</v>
      </c>
    </row>
    <row r="27" spans="1:14" ht="15" thickBot="1" x14ac:dyDescent="0.35">
      <c r="A27" s="15" t="s">
        <v>126</v>
      </c>
      <c r="B27" s="15" t="s">
        <v>127</v>
      </c>
      <c r="C27" s="16">
        <v>42</v>
      </c>
      <c r="D27" s="15" t="s">
        <v>69</v>
      </c>
      <c r="E27" s="15" t="s">
        <v>64</v>
      </c>
      <c r="F27" s="17">
        <v>45702</v>
      </c>
      <c r="G27" s="17">
        <v>45727</v>
      </c>
      <c r="H27" s="16">
        <v>1200</v>
      </c>
      <c r="I27" s="16">
        <v>3</v>
      </c>
      <c r="J27" s="15" t="s">
        <v>109</v>
      </c>
      <c r="K27" s="15"/>
      <c r="L27">
        <f t="shared" si="0"/>
        <v>0</v>
      </c>
      <c r="M27" t="str">
        <f t="shared" si="1"/>
        <v>No</v>
      </c>
      <c r="N27">
        <f t="shared" si="2"/>
        <v>0</v>
      </c>
    </row>
    <row r="28" spans="1:14" ht="15" thickBot="1" x14ac:dyDescent="0.35">
      <c r="A28" s="15" t="s">
        <v>128</v>
      </c>
      <c r="B28" s="15" t="s">
        <v>129</v>
      </c>
      <c r="C28" s="16">
        <v>24</v>
      </c>
      <c r="D28" s="15" t="s">
        <v>54</v>
      </c>
      <c r="E28" s="15" t="s">
        <v>73</v>
      </c>
      <c r="F28" s="17">
        <v>45698</v>
      </c>
      <c r="G28" s="17">
        <v>45726</v>
      </c>
      <c r="H28" s="16">
        <v>2500</v>
      </c>
      <c r="I28" s="16">
        <v>28</v>
      </c>
      <c r="J28" s="15" t="s">
        <v>77</v>
      </c>
      <c r="K28" s="15"/>
      <c r="L28">
        <f t="shared" si="0"/>
        <v>0</v>
      </c>
      <c r="M28" t="str">
        <f t="shared" si="1"/>
        <v>No</v>
      </c>
      <c r="N28">
        <f t="shared" si="2"/>
        <v>0</v>
      </c>
    </row>
    <row r="29" spans="1:14" ht="15" thickBot="1" x14ac:dyDescent="0.35">
      <c r="A29" s="15" t="s">
        <v>130</v>
      </c>
      <c r="B29" s="15" t="s">
        <v>131</v>
      </c>
      <c r="C29" s="16">
        <v>53</v>
      </c>
      <c r="D29" s="15" t="s">
        <v>54</v>
      </c>
      <c r="E29" s="15" t="s">
        <v>64</v>
      </c>
      <c r="F29" s="17">
        <v>45614</v>
      </c>
      <c r="G29" s="17">
        <v>45645</v>
      </c>
      <c r="H29" s="16">
        <v>1200</v>
      </c>
      <c r="I29" s="16">
        <v>23</v>
      </c>
      <c r="J29" s="15" t="s">
        <v>60</v>
      </c>
      <c r="K29" s="18"/>
      <c r="L29">
        <f t="shared" si="0"/>
        <v>1</v>
      </c>
      <c r="M29" t="str">
        <f t="shared" si="1"/>
        <v>No</v>
      </c>
      <c r="N29">
        <f t="shared" si="2"/>
        <v>1200</v>
      </c>
    </row>
    <row r="30" spans="1:14" ht="15" thickBot="1" x14ac:dyDescent="0.35">
      <c r="A30" s="15" t="s">
        <v>132</v>
      </c>
      <c r="B30" s="15" t="s">
        <v>133</v>
      </c>
      <c r="C30" s="16">
        <v>29</v>
      </c>
      <c r="D30" s="15" t="s">
        <v>69</v>
      </c>
      <c r="E30" s="15" t="s">
        <v>73</v>
      </c>
      <c r="F30" s="17">
        <v>45401</v>
      </c>
      <c r="G30" s="17">
        <v>45408</v>
      </c>
      <c r="H30" s="16">
        <v>2500</v>
      </c>
      <c r="I30" s="16">
        <v>8</v>
      </c>
      <c r="J30" s="15" t="s">
        <v>65</v>
      </c>
      <c r="K30" s="15"/>
      <c r="L30">
        <f t="shared" si="0"/>
        <v>0</v>
      </c>
      <c r="M30" t="str">
        <f t="shared" si="1"/>
        <v>No</v>
      </c>
      <c r="N30">
        <f t="shared" si="2"/>
        <v>0</v>
      </c>
    </row>
    <row r="31" spans="1:14" ht="15" thickBot="1" x14ac:dyDescent="0.35">
      <c r="A31" s="15" t="s">
        <v>134</v>
      </c>
      <c r="B31" s="15" t="s">
        <v>135</v>
      </c>
      <c r="C31" s="16">
        <v>31</v>
      </c>
      <c r="D31" s="15" t="s">
        <v>69</v>
      </c>
      <c r="E31" s="15" t="s">
        <v>73</v>
      </c>
      <c r="F31" s="17">
        <v>45667</v>
      </c>
      <c r="G31" s="17">
        <v>45745</v>
      </c>
      <c r="H31" s="16">
        <v>2500</v>
      </c>
      <c r="I31" s="16">
        <v>23</v>
      </c>
      <c r="J31" s="18" t="s">
        <v>84</v>
      </c>
      <c r="K31" s="15" t="s">
        <v>136</v>
      </c>
      <c r="L31">
        <f t="shared" si="0"/>
        <v>2</v>
      </c>
      <c r="M31" t="str">
        <f t="shared" si="1"/>
        <v>Yes</v>
      </c>
      <c r="N31">
        <f t="shared" si="2"/>
        <v>5000</v>
      </c>
    </row>
    <row r="32" spans="1:14" ht="15" thickBot="1" x14ac:dyDescent="0.35">
      <c r="A32" s="15" t="s">
        <v>137</v>
      </c>
      <c r="B32" s="15" t="s">
        <v>138</v>
      </c>
      <c r="C32" s="16">
        <v>52</v>
      </c>
      <c r="D32" s="15" t="s">
        <v>69</v>
      </c>
      <c r="E32" s="15" t="s">
        <v>55</v>
      </c>
      <c r="F32" s="17">
        <v>45088</v>
      </c>
      <c r="G32" s="17">
        <v>45656</v>
      </c>
      <c r="H32" s="16">
        <v>800</v>
      </c>
      <c r="I32" s="16">
        <v>9</v>
      </c>
      <c r="J32" s="15" t="s">
        <v>109</v>
      </c>
      <c r="K32" s="15" t="s">
        <v>139</v>
      </c>
      <c r="L32">
        <f t="shared" si="0"/>
        <v>18</v>
      </c>
      <c r="M32" t="str">
        <f t="shared" si="1"/>
        <v>Yes</v>
      </c>
      <c r="N32">
        <f t="shared" si="2"/>
        <v>14400</v>
      </c>
    </row>
    <row r="33" spans="1:14" ht="15" thickBot="1" x14ac:dyDescent="0.35">
      <c r="A33" s="15" t="s">
        <v>140</v>
      </c>
      <c r="B33" s="15" t="s">
        <v>141</v>
      </c>
      <c r="C33" s="16">
        <v>20</v>
      </c>
      <c r="D33" s="15" t="s">
        <v>54</v>
      </c>
      <c r="E33" s="15" t="s">
        <v>64</v>
      </c>
      <c r="F33" s="17">
        <v>45391</v>
      </c>
      <c r="G33" s="17">
        <v>45604</v>
      </c>
      <c r="H33" s="16">
        <v>1200</v>
      </c>
      <c r="I33" s="16">
        <v>2</v>
      </c>
      <c r="J33" s="18" t="s">
        <v>77</v>
      </c>
      <c r="K33" s="15"/>
      <c r="L33">
        <f t="shared" si="0"/>
        <v>7</v>
      </c>
      <c r="M33" t="str">
        <f t="shared" si="1"/>
        <v>No</v>
      </c>
      <c r="N33">
        <f t="shared" si="2"/>
        <v>8400</v>
      </c>
    </row>
    <row r="34" spans="1:14" ht="15" thickBot="1" x14ac:dyDescent="0.35">
      <c r="A34" s="15" t="s">
        <v>142</v>
      </c>
      <c r="B34" s="15" t="s">
        <v>143</v>
      </c>
      <c r="C34" s="16">
        <v>22</v>
      </c>
      <c r="D34" s="15" t="s">
        <v>54</v>
      </c>
      <c r="E34" s="15" t="s">
        <v>55</v>
      </c>
      <c r="F34" s="17">
        <v>45699</v>
      </c>
      <c r="G34" s="17">
        <v>45740</v>
      </c>
      <c r="H34" s="16">
        <v>800</v>
      </c>
      <c r="I34" s="16">
        <v>30</v>
      </c>
      <c r="J34" s="15" t="s">
        <v>77</v>
      </c>
      <c r="K34" s="18"/>
      <c r="L34">
        <f t="shared" si="0"/>
        <v>1</v>
      </c>
      <c r="M34" t="str">
        <f t="shared" si="1"/>
        <v>No</v>
      </c>
      <c r="N34">
        <f t="shared" si="2"/>
        <v>800</v>
      </c>
    </row>
    <row r="35" spans="1:14" ht="15" thickBot="1" x14ac:dyDescent="0.35">
      <c r="A35" s="15" t="s">
        <v>144</v>
      </c>
      <c r="B35" s="15" t="s">
        <v>145</v>
      </c>
      <c r="C35" s="16">
        <v>23</v>
      </c>
      <c r="D35" s="15" t="s">
        <v>54</v>
      </c>
      <c r="E35" s="15" t="s">
        <v>83</v>
      </c>
      <c r="F35" s="17">
        <v>45588</v>
      </c>
      <c r="G35" s="17">
        <v>45721</v>
      </c>
      <c r="H35" s="16">
        <v>1800</v>
      </c>
      <c r="I35" s="16">
        <v>23</v>
      </c>
      <c r="J35" s="15" t="s">
        <v>60</v>
      </c>
      <c r="K35" s="15" t="s">
        <v>146</v>
      </c>
      <c r="L35">
        <f t="shared" si="0"/>
        <v>4</v>
      </c>
      <c r="M35" t="str">
        <f t="shared" si="1"/>
        <v>Yes</v>
      </c>
      <c r="N35">
        <f t="shared" si="2"/>
        <v>7200</v>
      </c>
    </row>
    <row r="36" spans="1:14" ht="15" thickBot="1" x14ac:dyDescent="0.35">
      <c r="A36" s="15" t="s">
        <v>147</v>
      </c>
      <c r="B36" s="15" t="s">
        <v>148</v>
      </c>
      <c r="C36" s="16">
        <v>27</v>
      </c>
      <c r="D36" s="15" t="s">
        <v>69</v>
      </c>
      <c r="E36" s="15" t="s">
        <v>64</v>
      </c>
      <c r="F36" s="17">
        <v>45312</v>
      </c>
      <c r="G36" s="17">
        <v>45652</v>
      </c>
      <c r="H36" s="16">
        <v>1200</v>
      </c>
      <c r="I36" s="16">
        <v>27</v>
      </c>
      <c r="J36" s="15" t="s">
        <v>60</v>
      </c>
      <c r="K36" s="15"/>
      <c r="L36">
        <f t="shared" si="0"/>
        <v>11</v>
      </c>
      <c r="M36" t="str">
        <f t="shared" si="1"/>
        <v>No</v>
      </c>
      <c r="N36">
        <f t="shared" si="2"/>
        <v>13200</v>
      </c>
    </row>
    <row r="41" spans="1:14" x14ac:dyDescent="0.3">
      <c r="M41" s="22" t="s">
        <v>152</v>
      </c>
      <c r="N41" t="s">
        <v>154</v>
      </c>
    </row>
    <row r="42" spans="1:14" x14ac:dyDescent="0.3">
      <c r="M42" s="23" t="s">
        <v>155</v>
      </c>
      <c r="N42" s="24">
        <v>1530</v>
      </c>
    </row>
    <row r="43" spans="1:14" x14ac:dyDescent="0.3">
      <c r="M43" s="23" t="s">
        <v>156</v>
      </c>
      <c r="N43" s="24">
        <v>1406.6666666666667</v>
      </c>
    </row>
    <row r="44" spans="1:14" x14ac:dyDescent="0.3">
      <c r="M44" s="23" t="s">
        <v>153</v>
      </c>
      <c r="N44" s="24">
        <v>1477.1428571428571</v>
      </c>
    </row>
    <row r="45" spans="1:14" x14ac:dyDescent="0.3">
      <c r="M45" s="22" t="s">
        <v>45</v>
      </c>
      <c r="N45" t="s">
        <v>73</v>
      </c>
    </row>
    <row r="47" spans="1:14" x14ac:dyDescent="0.3">
      <c r="M47" t="s">
        <v>158</v>
      </c>
    </row>
    <row r="48" spans="1:14" x14ac:dyDescent="0.3">
      <c r="M48" s="24">
        <v>75000</v>
      </c>
    </row>
    <row r="49" spans="13:14" x14ac:dyDescent="0.3">
      <c r="M49" s="22" t="s">
        <v>152</v>
      </c>
      <c r="N49" t="s">
        <v>158</v>
      </c>
    </row>
    <row r="50" spans="13:14" x14ac:dyDescent="0.3">
      <c r="M50" s="23" t="s">
        <v>56</v>
      </c>
      <c r="N50" s="24">
        <v>55300</v>
      </c>
    </row>
    <row r="51" spans="13:14" x14ac:dyDescent="0.3">
      <c r="M51" s="23" t="s">
        <v>109</v>
      </c>
      <c r="N51" s="24">
        <v>49400</v>
      </c>
    </row>
    <row r="52" spans="13:14" x14ac:dyDescent="0.3">
      <c r="M52" s="23" t="s">
        <v>65</v>
      </c>
      <c r="N52" s="24">
        <v>28800</v>
      </c>
    </row>
    <row r="53" spans="13:14" x14ac:dyDescent="0.3">
      <c r="M53" s="23" t="s">
        <v>84</v>
      </c>
      <c r="N53" s="24">
        <v>32100</v>
      </c>
    </row>
    <row r="54" spans="13:14" x14ac:dyDescent="0.3">
      <c r="M54" s="23" t="s">
        <v>77</v>
      </c>
      <c r="N54" s="24">
        <v>76400</v>
      </c>
    </row>
    <row r="55" spans="13:14" x14ac:dyDescent="0.3">
      <c r="M55" s="23" t="s">
        <v>60</v>
      </c>
      <c r="N55" s="24">
        <v>23200</v>
      </c>
    </row>
    <row r="56" spans="13:14" x14ac:dyDescent="0.3">
      <c r="M56" s="23" t="s">
        <v>153</v>
      </c>
      <c r="N56" s="24">
        <v>265200</v>
      </c>
    </row>
  </sheetData>
  <conditionalFormatting sqref="A1:N26">
    <cfRule type="colorScale" priority="2">
      <colorScale>
        <cfvo type="min"/>
        <cfvo type="max"/>
        <color rgb="FFFF7128"/>
        <color rgb="FFFFEF9C"/>
      </colorScale>
    </cfRule>
  </conditionalFormatting>
  <conditionalFormatting sqref="A27:N3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Assign1</vt:lpstr>
      <vt:lpstr>Assign2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Ahmed</dc:creator>
  <cp:lastModifiedBy>Taufiq Ahmed</cp:lastModifiedBy>
  <dcterms:created xsi:type="dcterms:W3CDTF">2025-12-27T11:55:49Z</dcterms:created>
  <dcterms:modified xsi:type="dcterms:W3CDTF">2025-12-27T13:30:16Z</dcterms:modified>
</cp:coreProperties>
</file>