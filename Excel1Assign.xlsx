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dta\Downloads\"/>
    </mc:Choice>
  </mc:AlternateContent>
  <xr:revisionPtr revIDLastSave="0" documentId="8_{F78BF787-00C5-4FE9-8D15-83453ADE8298}" xr6:coauthVersionLast="47" xr6:coauthVersionMax="47" xr10:uidLastSave="{00000000-0000-0000-0000-000000000000}"/>
  <bookViews>
    <workbookView xWindow="-108" yWindow="-108" windowWidth="23256" windowHeight="12456" xr2:uid="{C6BBDDFA-5002-4A0D-A698-7ED621E90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  <c r="M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<sst xmlns="http://schemas.openxmlformats.org/spreadsheetml/2006/main" count="62" uniqueCount="42">
  <si>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</si>
  <si>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</si>
  <si>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</si>
  <si>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</si>
  <si>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</si>
  <si>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</si>
  <si>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</si>
  <si>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</si>
  <si>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</si>
  <si>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</si>
  <si>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</si>
  <si>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</si>
  <si>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</si>
  <si>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</si>
  <si>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</si>
  <si>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</si>
  <si>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</si>
  <si>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</si>
  <si>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</si>
  <si>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</si>
  <si>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</si>
  <si>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</si>
  <si>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</si>
  <si>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</si>
  <si>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</si>
  <si>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</si>
  <si>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</si>
  <si>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</si>
  <si>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</si>
  <si>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</si>
  <si>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</si>
  <si>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</si>
  <si>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</si>
  <si>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</si>
  <si>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</si>
  <si>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</si>
  <si>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</si>
  <si>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>Product Efficiency Index</t>
  </si>
  <si>
    <t>Correlation between Hours and Rating</t>
  </si>
  <si>
    <t>Correlation between Tasks and Rating</t>
  </si>
  <si>
    <t>Tasks_per_hour</t>
  </si>
  <si>
    <t>Neeraj from Marketing department is most efficient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</si>
</sst>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E290E7-2086-4760-B81C-26546552E871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8044-A5E3-4200-B597-13C34136E791}">
  <dimension ref="A1:T29"/>
  <sheetViews>
    <sheetView tabSelected="1" workbookViewId="0">
      <selection activeCell="P14" sqref="P14"/>
    </sheetView>
  </sheetViews>
  <sheetFormatPr defaultRowHeight="14.4" x14ac:dyDescent="0.3"/>
  <cols>
    <col min="1" max="1" width="16.109375" customWidth="1"/>
    <col min="2" max="2" width="7.33203125" bestFit="1" customWidth="1"/>
    <col min="3" max="3" width="15.6640625" customWidth="1"/>
    <col min="4" max="4" width="15.77734375" customWidth="1"/>
    <col min="5" max="5" width="19.33203125" customWidth="1"/>
    <col min="6" max="6" width="20.33203125" customWidth="1"/>
    <col min="7" max="7" width="24.44140625" customWidth="1"/>
    <col min="8" max="8" width="23.88671875" customWidth="1"/>
    <col min="9" max="9" width="37" customWidth="1"/>
    <col min="10" max="10" width="33" customWidth="1"/>
    <col min="13" max="13" width="52.5546875" bestFit="1" customWidth="1"/>
  </cols>
  <sheetData>
    <row r="1" spans="1:20" ht="22.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0" t="s">
        <v>37</v>
      </c>
      <c r="I1" s="10" t="s">
        <v>38</v>
      </c>
      <c r="J1" s="10" t="s">
        <v>39</v>
      </c>
      <c r="K1" s="10" t="s">
        <v>40</v>
      </c>
      <c r="M1" t="str">
        <f>INDEX(B:B,MATCH(MAX(I:I),I:I,0))</f>
        <v>Neeraj</v>
      </c>
    </row>
    <row r="2" spans="1:20" ht="15" thickBot="1" x14ac:dyDescent="0.35">
      <c r="A2" s="4">
        <v>107</v>
      </c>
      <c r="B2" s="5" t="s">
        <v>18</v>
      </c>
      <c r="C2" s="5" t="s">
        <v>14</v>
      </c>
      <c r="D2" s="5">
        <v>50</v>
      </c>
      <c r="E2" s="5">
        <v>80</v>
      </c>
      <c r="F2" s="5">
        <v>100</v>
      </c>
      <c r="G2" s="8">
        <v>5</v>
      </c>
      <c r="H2" s="8">
        <f xml:space="preserve"> (F2*G2)/D2</f>
        <v>10</v>
      </c>
      <c r="I2" s="8">
        <f>IFERROR(CORREL(D2:D26, G2:G26), 0)</f>
        <v>0.94623485838187738</v>
      </c>
      <c r="J2" s="8">
        <f>IFERROR(CORREL(E2:E26, G2:G26), 0)</f>
        <v>0.9574553703647628</v>
      </c>
      <c r="K2" s="8">
        <f>E2/D2</f>
        <v>1.6</v>
      </c>
      <c r="M2" t="str">
        <f>INDEX(C:C, MATCH(MAX(I:I), I:I, 0))</f>
        <v>Marketing</v>
      </c>
      <c r="N2" cm="1">
        <f t="array" ref="N2:T4">_xlfn._xlws.FILTER(A2:G26, (G2:G26&gt;=4)*(D2:D26&lt;AVERAGE(D2:D26)))</f>
        <v>110</v>
      </c>
      <c r="O2" t="str">
        <v>Sneha</v>
      </c>
      <c r="P2" t="str">
        <v>Sales</v>
      </c>
      <c r="Q2">
        <v>37</v>
      </c>
      <c r="R2">
        <v>55</v>
      </c>
      <c r="S2">
        <v>83</v>
      </c>
      <c r="T2">
        <v>4</v>
      </c>
    </row>
    <row r="3" spans="1:20" ht="15" thickBot="1" x14ac:dyDescent="0.35">
      <c r="A3" s="4">
        <v>125</v>
      </c>
      <c r="B3" s="5" t="s">
        <v>36</v>
      </c>
      <c r="C3" s="5" t="s">
        <v>14</v>
      </c>
      <c r="D3" s="5">
        <v>47</v>
      </c>
      <c r="E3" s="5">
        <v>79</v>
      </c>
      <c r="F3" s="5">
        <v>99</v>
      </c>
      <c r="G3" s="8">
        <v>5</v>
      </c>
      <c r="H3" s="8">
        <f xml:space="preserve"> (F3*G3)/D3</f>
        <v>10.531914893617021</v>
      </c>
      <c r="I3" s="8">
        <f t="shared" ref="I3:I26" si="0">IFERROR(CORREL(D3:D27, G3:G27), 0)</f>
        <v>0.95209126261602661</v>
      </c>
      <c r="J3" s="8">
        <f t="shared" ref="J3:J26" si="1">IFERROR(CORREL(E3:E27, G3:G27), 0)</f>
        <v>0.95714894849198029</v>
      </c>
      <c r="K3" s="8">
        <f t="shared" ref="K3:K26" si="2">E3/D3</f>
        <v>1.6808510638297873</v>
      </c>
      <c r="M3" s="11" t="s">
        <v>41</v>
      </c>
      <c r="N3">
        <v>101</v>
      </c>
      <c r="O3" t="str">
        <v>Aakash</v>
      </c>
      <c r="P3" t="str">
        <v>Sales</v>
      </c>
      <c r="Q3">
        <v>35</v>
      </c>
      <c r="R3">
        <v>50</v>
      </c>
      <c r="S3">
        <v>80</v>
      </c>
      <c r="T3">
        <v>4</v>
      </c>
    </row>
    <row r="4" spans="1:20" ht="15" thickBot="1" x14ac:dyDescent="0.35">
      <c r="A4" s="4">
        <v>115</v>
      </c>
      <c r="B4" s="5" t="s">
        <v>26</v>
      </c>
      <c r="C4" s="5" t="s">
        <v>14</v>
      </c>
      <c r="D4" s="5">
        <v>48</v>
      </c>
      <c r="E4" s="5">
        <v>78</v>
      </c>
      <c r="F4" s="5">
        <v>98</v>
      </c>
      <c r="G4" s="8">
        <v>5</v>
      </c>
      <c r="H4" s="8">
        <f t="shared" ref="H4:H26" si="3" xml:space="preserve"> (F4*G4)/D4</f>
        <v>10.208333333333334</v>
      </c>
      <c r="I4" s="8">
        <f t="shared" si="0"/>
        <v>0.9511769122099909</v>
      </c>
      <c r="J4" s="8">
        <f t="shared" si="1"/>
        <v>0.95633286989405208</v>
      </c>
      <c r="K4" s="8">
        <f t="shared" si="2"/>
        <v>1.625</v>
      </c>
      <c r="N4">
        <v>120</v>
      </c>
      <c r="O4" t="str">
        <v>Suman</v>
      </c>
      <c r="P4" t="str">
        <v>Sales</v>
      </c>
      <c r="Q4">
        <v>36</v>
      </c>
      <c r="R4">
        <v>52</v>
      </c>
      <c r="S4">
        <v>78</v>
      </c>
      <c r="T4">
        <v>4</v>
      </c>
    </row>
    <row r="5" spans="1:20" ht="15" thickBot="1" x14ac:dyDescent="0.35">
      <c r="A5" s="4">
        <v>123</v>
      </c>
      <c r="B5" s="5" t="s">
        <v>34</v>
      </c>
      <c r="C5" s="5" t="s">
        <v>10</v>
      </c>
      <c r="D5" s="5">
        <v>46</v>
      </c>
      <c r="E5" s="5">
        <v>77</v>
      </c>
      <c r="F5" s="5">
        <v>96</v>
      </c>
      <c r="G5" s="8">
        <v>5</v>
      </c>
      <c r="H5" s="8">
        <f t="shared" si="3"/>
        <v>10.434782608695652</v>
      </c>
      <c r="I5" s="8">
        <f t="shared" si="0"/>
        <v>0.95419577647698561</v>
      </c>
      <c r="J5" s="8">
        <f t="shared" si="1"/>
        <v>0.95487001919388192</v>
      </c>
      <c r="K5" s="8">
        <f t="shared" si="2"/>
        <v>1.673913043478261</v>
      </c>
    </row>
    <row r="6" spans="1:20" ht="15" thickBot="1" x14ac:dyDescent="0.35">
      <c r="A6" s="6">
        <v>104</v>
      </c>
      <c r="B6" s="7" t="s">
        <v>13</v>
      </c>
      <c r="C6" s="7" t="s">
        <v>14</v>
      </c>
      <c r="D6" s="7">
        <v>45</v>
      </c>
      <c r="E6" s="7">
        <v>75</v>
      </c>
      <c r="F6" s="7">
        <v>95</v>
      </c>
      <c r="G6" s="9">
        <v>5</v>
      </c>
      <c r="H6" s="9">
        <f t="shared" si="3"/>
        <v>10.555555555555555</v>
      </c>
      <c r="I6" s="9">
        <f t="shared" si="0"/>
        <v>0.95262794416288232</v>
      </c>
      <c r="J6" s="9">
        <f t="shared" si="1"/>
        <v>0.95254827981984858</v>
      </c>
      <c r="K6" s="9">
        <f t="shared" si="2"/>
        <v>1.6666666666666667</v>
      </c>
    </row>
    <row r="7" spans="1:20" ht="15" thickBot="1" x14ac:dyDescent="0.35">
      <c r="A7" s="6">
        <v>112</v>
      </c>
      <c r="B7" s="7" t="s">
        <v>23</v>
      </c>
      <c r="C7" s="7" t="s">
        <v>10</v>
      </c>
      <c r="D7" s="7">
        <v>44</v>
      </c>
      <c r="E7" s="7">
        <v>73</v>
      </c>
      <c r="F7" s="7">
        <v>94</v>
      </c>
      <c r="G7" s="9">
        <v>5</v>
      </c>
      <c r="H7" s="9">
        <f t="shared" si="3"/>
        <v>10.681818181818182</v>
      </c>
      <c r="I7" s="9">
        <f t="shared" si="0"/>
        <v>0.94871152833151984</v>
      </c>
      <c r="J7" s="9">
        <f t="shared" si="1"/>
        <v>0.94817671347198729</v>
      </c>
      <c r="K7" s="9">
        <f t="shared" si="2"/>
        <v>1.6590909090909092</v>
      </c>
    </row>
    <row r="8" spans="1:20" ht="15" thickBot="1" x14ac:dyDescent="0.35">
      <c r="A8" s="6">
        <v>118</v>
      </c>
      <c r="B8" s="7" t="s">
        <v>29</v>
      </c>
      <c r="C8" s="7" t="s">
        <v>10</v>
      </c>
      <c r="D8" s="7">
        <v>43</v>
      </c>
      <c r="E8" s="7">
        <v>75</v>
      </c>
      <c r="F8" s="7">
        <v>93</v>
      </c>
      <c r="G8" s="9">
        <v>5</v>
      </c>
      <c r="H8" s="9">
        <f t="shared" si="3"/>
        <v>10.813953488372093</v>
      </c>
      <c r="I8" s="9">
        <f t="shared" si="0"/>
        <v>0.94191917914539158</v>
      </c>
      <c r="J8" s="9">
        <f t="shared" si="1"/>
        <v>0.94120776735576561</v>
      </c>
      <c r="K8" s="9">
        <f t="shared" si="2"/>
        <v>1.7441860465116279</v>
      </c>
    </row>
    <row r="9" spans="1:20" ht="15" thickBot="1" x14ac:dyDescent="0.35">
      <c r="A9" s="4">
        <v>109</v>
      </c>
      <c r="B9" s="5" t="s">
        <v>20</v>
      </c>
      <c r="C9" s="5" t="s">
        <v>10</v>
      </c>
      <c r="D9" s="5">
        <v>42</v>
      </c>
      <c r="E9" s="5">
        <v>70</v>
      </c>
      <c r="F9" s="5">
        <v>92</v>
      </c>
      <c r="G9" s="8">
        <v>5</v>
      </c>
      <c r="H9" s="8">
        <f t="shared" si="3"/>
        <v>10.952380952380953</v>
      </c>
      <c r="I9" s="8">
        <f t="shared" si="0"/>
        <v>0.93180385467243954</v>
      </c>
      <c r="J9" s="8">
        <f t="shared" si="1"/>
        <v>0.93263748940019231</v>
      </c>
      <c r="K9" s="8">
        <f t="shared" si="2"/>
        <v>1.6666666666666667</v>
      </c>
    </row>
    <row r="10" spans="1:20" ht="15" thickBot="1" x14ac:dyDescent="0.35">
      <c r="A10" s="6">
        <v>102</v>
      </c>
      <c r="B10" s="7" t="s">
        <v>9</v>
      </c>
      <c r="C10" s="7" t="s">
        <v>10</v>
      </c>
      <c r="D10" s="7">
        <v>40</v>
      </c>
      <c r="E10" s="7">
        <v>65</v>
      </c>
      <c r="F10" s="7">
        <v>90</v>
      </c>
      <c r="G10" s="9">
        <v>5</v>
      </c>
      <c r="H10" s="9">
        <f t="shared" si="3"/>
        <v>11.25</v>
      </c>
      <c r="I10" s="9">
        <f t="shared" si="0"/>
        <v>0.91855865354369193</v>
      </c>
      <c r="J10" s="9">
        <f t="shared" si="1"/>
        <v>0.9162979947966603</v>
      </c>
      <c r="K10" s="9">
        <f t="shared" si="2"/>
        <v>1.625</v>
      </c>
    </row>
    <row r="11" spans="1:20" ht="15" thickBot="1" x14ac:dyDescent="0.35">
      <c r="A11" s="6">
        <v>114</v>
      </c>
      <c r="B11" s="7" t="s">
        <v>25</v>
      </c>
      <c r="C11" s="7" t="s">
        <v>8</v>
      </c>
      <c r="D11" s="7">
        <v>41</v>
      </c>
      <c r="E11" s="7">
        <v>66</v>
      </c>
      <c r="F11" s="7">
        <v>89</v>
      </c>
      <c r="G11" s="9">
        <v>4</v>
      </c>
      <c r="H11" s="9">
        <f t="shared" si="3"/>
        <v>8.6829268292682933</v>
      </c>
      <c r="I11" s="9">
        <f t="shared" si="0"/>
        <v>0.91808339364110925</v>
      </c>
      <c r="J11" s="9">
        <f t="shared" si="1"/>
        <v>0.90121359496370546</v>
      </c>
      <c r="K11" s="9">
        <f t="shared" si="2"/>
        <v>1.6097560975609757</v>
      </c>
    </row>
    <row r="12" spans="1:20" ht="15" thickBot="1" x14ac:dyDescent="0.35">
      <c r="A12" s="4">
        <v>119</v>
      </c>
      <c r="B12" s="5" t="s">
        <v>30</v>
      </c>
      <c r="C12" s="5" t="s">
        <v>14</v>
      </c>
      <c r="D12" s="5">
        <v>39</v>
      </c>
      <c r="E12" s="5">
        <v>60</v>
      </c>
      <c r="F12" s="5">
        <v>87</v>
      </c>
      <c r="G12" s="8">
        <v>4</v>
      </c>
      <c r="H12" s="8">
        <f t="shared" si="3"/>
        <v>8.9230769230769234</v>
      </c>
      <c r="I12" s="8">
        <f t="shared" si="0"/>
        <v>0.92407256128626969</v>
      </c>
      <c r="J12" s="8">
        <f t="shared" si="1"/>
        <v>0.91550217763929487</v>
      </c>
      <c r="K12" s="8">
        <f t="shared" si="2"/>
        <v>1.5384615384615385</v>
      </c>
    </row>
    <row r="13" spans="1:20" ht="15" thickBot="1" x14ac:dyDescent="0.35">
      <c r="A13" s="6">
        <v>106</v>
      </c>
      <c r="B13" s="7" t="s">
        <v>17</v>
      </c>
      <c r="C13" s="7" t="s">
        <v>8</v>
      </c>
      <c r="D13" s="7">
        <v>38</v>
      </c>
      <c r="E13" s="7">
        <v>58</v>
      </c>
      <c r="F13" s="7">
        <v>85</v>
      </c>
      <c r="G13" s="9">
        <v>4</v>
      </c>
      <c r="H13" s="9">
        <f t="shared" si="3"/>
        <v>8.9473684210526319</v>
      </c>
      <c r="I13" s="9">
        <f t="shared" si="0"/>
        <v>0.9193488023921893</v>
      </c>
      <c r="J13" s="9">
        <f t="shared" si="1"/>
        <v>0.91267501584713218</v>
      </c>
      <c r="K13" s="9">
        <f t="shared" si="2"/>
        <v>1.5263157894736843</v>
      </c>
    </row>
    <row r="14" spans="1:20" ht="15" thickBot="1" x14ac:dyDescent="0.35">
      <c r="A14" s="6">
        <v>110</v>
      </c>
      <c r="B14" s="7" t="s">
        <v>21</v>
      </c>
      <c r="C14" s="7" t="s">
        <v>8</v>
      </c>
      <c r="D14" s="7">
        <v>37</v>
      </c>
      <c r="E14" s="7">
        <v>55</v>
      </c>
      <c r="F14" s="7">
        <v>83</v>
      </c>
      <c r="G14" s="9">
        <v>4</v>
      </c>
      <c r="H14" s="9">
        <f t="shared" si="3"/>
        <v>8.9729729729729737</v>
      </c>
      <c r="I14" s="9">
        <f t="shared" si="0"/>
        <v>0.90784129900320354</v>
      </c>
      <c r="J14" s="9">
        <f t="shared" si="1"/>
        <v>0.9039727321400427</v>
      </c>
      <c r="K14" s="9">
        <f t="shared" si="2"/>
        <v>1.4864864864864864</v>
      </c>
    </row>
    <row r="15" spans="1:20" ht="15" thickBot="1" x14ac:dyDescent="0.35">
      <c r="A15" s="4">
        <v>101</v>
      </c>
      <c r="B15" s="5" t="s">
        <v>7</v>
      </c>
      <c r="C15" s="5" t="s">
        <v>8</v>
      </c>
      <c r="D15" s="5">
        <v>35</v>
      </c>
      <c r="E15" s="5">
        <v>50</v>
      </c>
      <c r="F15" s="5">
        <v>80</v>
      </c>
      <c r="G15" s="8">
        <v>4</v>
      </c>
      <c r="H15" s="8">
        <f t="shared" si="3"/>
        <v>9.1428571428571423</v>
      </c>
      <c r="I15" s="8">
        <f t="shared" si="0"/>
        <v>0.88626675923201359</v>
      </c>
      <c r="J15" s="8">
        <f t="shared" si="1"/>
        <v>0.88184017160801487</v>
      </c>
      <c r="K15" s="8">
        <f t="shared" si="2"/>
        <v>1.4285714285714286</v>
      </c>
    </row>
    <row r="16" spans="1:20" ht="15" thickBot="1" x14ac:dyDescent="0.35">
      <c r="A16" s="6">
        <v>120</v>
      </c>
      <c r="B16" s="7" t="s">
        <v>31</v>
      </c>
      <c r="C16" s="7" t="s">
        <v>8</v>
      </c>
      <c r="D16" s="7">
        <v>36</v>
      </c>
      <c r="E16" s="7">
        <v>52</v>
      </c>
      <c r="F16" s="7">
        <v>78</v>
      </c>
      <c r="G16" s="9">
        <v>4</v>
      </c>
      <c r="H16" s="9">
        <f t="shared" si="3"/>
        <v>8.6666666666666661</v>
      </c>
      <c r="I16" s="9">
        <f t="shared" si="0"/>
        <v>0.86710996952412023</v>
      </c>
      <c r="J16" s="9">
        <f t="shared" si="1"/>
        <v>0.85989481166996795</v>
      </c>
      <c r="K16" s="9">
        <f t="shared" si="2"/>
        <v>1.4444444444444444</v>
      </c>
    </row>
    <row r="17" spans="1:11" ht="15" thickBot="1" x14ac:dyDescent="0.35">
      <c r="A17" s="6">
        <v>124</v>
      </c>
      <c r="B17" s="7" t="s">
        <v>35</v>
      </c>
      <c r="C17" s="7" t="s">
        <v>8</v>
      </c>
      <c r="D17" s="7">
        <v>34</v>
      </c>
      <c r="E17" s="7">
        <v>48</v>
      </c>
      <c r="F17" s="7">
        <v>76</v>
      </c>
      <c r="G17" s="9">
        <v>3</v>
      </c>
      <c r="H17" s="9">
        <f t="shared" si="3"/>
        <v>6.7058823529411766</v>
      </c>
      <c r="I17" s="9">
        <f t="shared" si="0"/>
        <v>0.7977240352174656</v>
      </c>
      <c r="J17" s="9">
        <f t="shared" si="1"/>
        <v>0.78255750996409246</v>
      </c>
      <c r="K17" s="9">
        <f t="shared" si="2"/>
        <v>1.411764705882353</v>
      </c>
    </row>
    <row r="18" spans="1:11" ht="15" thickBot="1" x14ac:dyDescent="0.35">
      <c r="A18" s="4">
        <v>113</v>
      </c>
      <c r="B18" s="5" t="s">
        <v>24</v>
      </c>
      <c r="C18" s="5" t="s">
        <v>12</v>
      </c>
      <c r="D18" s="5">
        <v>33</v>
      </c>
      <c r="E18" s="5">
        <v>45</v>
      </c>
      <c r="F18" s="5">
        <v>75</v>
      </c>
      <c r="G18" s="8">
        <v>3</v>
      </c>
      <c r="H18" s="8">
        <f t="shared" si="3"/>
        <v>6.8181818181818183</v>
      </c>
      <c r="I18" s="8">
        <f t="shared" si="0"/>
        <v>0.82158383625774911</v>
      </c>
      <c r="J18" s="8">
        <f t="shared" si="1"/>
        <v>0.80895280867317154</v>
      </c>
      <c r="K18" s="8">
        <f t="shared" si="2"/>
        <v>1.3636363636363635</v>
      </c>
    </row>
    <row r="19" spans="1:11" ht="15" thickBot="1" x14ac:dyDescent="0.35">
      <c r="A19" s="6">
        <v>122</v>
      </c>
      <c r="B19" s="7" t="s">
        <v>33</v>
      </c>
      <c r="C19" s="7" t="s">
        <v>12</v>
      </c>
      <c r="D19" s="7">
        <v>32</v>
      </c>
      <c r="E19" s="7">
        <v>44</v>
      </c>
      <c r="F19" s="7">
        <v>74</v>
      </c>
      <c r="G19" s="9">
        <v>3</v>
      </c>
      <c r="H19" s="9">
        <f t="shared" si="3"/>
        <v>6.9375</v>
      </c>
      <c r="I19" s="9">
        <f t="shared" si="0"/>
        <v>0.84515425472851657</v>
      </c>
      <c r="J19" s="9">
        <f t="shared" si="1"/>
        <v>0.81706381019732011</v>
      </c>
      <c r="K19" s="9">
        <f t="shared" si="2"/>
        <v>1.375</v>
      </c>
    </row>
    <row r="20" spans="1:11" ht="15" thickBot="1" x14ac:dyDescent="0.35">
      <c r="A20" s="4">
        <v>117</v>
      </c>
      <c r="B20" s="5" t="s">
        <v>28</v>
      </c>
      <c r="C20" s="5" t="s">
        <v>12</v>
      </c>
      <c r="D20" s="5">
        <v>31</v>
      </c>
      <c r="E20" s="5">
        <v>42</v>
      </c>
      <c r="F20" s="5">
        <v>72</v>
      </c>
      <c r="G20" s="8">
        <v>3</v>
      </c>
      <c r="H20" s="8">
        <f t="shared" si="3"/>
        <v>6.967741935483871</v>
      </c>
      <c r="I20" s="8">
        <f t="shared" si="0"/>
        <v>0.8660254037844386</v>
      </c>
      <c r="J20" s="8">
        <f t="shared" si="1"/>
        <v>0.83191863039298308</v>
      </c>
      <c r="K20" s="8">
        <f t="shared" si="2"/>
        <v>1.3548387096774193</v>
      </c>
    </row>
    <row r="21" spans="1:11" ht="15" thickBot="1" x14ac:dyDescent="0.35">
      <c r="A21" s="4">
        <v>103</v>
      </c>
      <c r="B21" s="5" t="s">
        <v>11</v>
      </c>
      <c r="C21" s="5" t="s">
        <v>12</v>
      </c>
      <c r="D21" s="5">
        <v>30</v>
      </c>
      <c r="E21" s="5">
        <v>40</v>
      </c>
      <c r="F21" s="5">
        <v>70</v>
      </c>
      <c r="G21" s="8">
        <v>3</v>
      </c>
      <c r="H21" s="8">
        <f t="shared" si="3"/>
        <v>7</v>
      </c>
      <c r="I21" s="8">
        <f t="shared" si="0"/>
        <v>0.87831006565367986</v>
      </c>
      <c r="J21" s="8">
        <f t="shared" si="1"/>
        <v>0.83651531321870887</v>
      </c>
      <c r="K21" s="8">
        <f t="shared" si="2"/>
        <v>1.3333333333333333</v>
      </c>
    </row>
    <row r="22" spans="1:11" ht="15" thickBot="1" x14ac:dyDescent="0.35">
      <c r="A22" s="4">
        <v>111</v>
      </c>
      <c r="B22" s="5" t="s">
        <v>22</v>
      </c>
      <c r="C22" s="5" t="s">
        <v>16</v>
      </c>
      <c r="D22" s="5">
        <v>29</v>
      </c>
      <c r="E22" s="5">
        <v>38</v>
      </c>
      <c r="F22" s="5">
        <v>68</v>
      </c>
      <c r="G22" s="8">
        <v>3</v>
      </c>
      <c r="H22" s="8">
        <f t="shared" si="3"/>
        <v>7.0344827586206895</v>
      </c>
      <c r="I22" s="8">
        <f t="shared" si="0"/>
        <v>0.8660254037844386</v>
      </c>
      <c r="J22" s="8">
        <f t="shared" si="1"/>
        <v>0.81260450832894204</v>
      </c>
      <c r="K22" s="8">
        <f t="shared" si="2"/>
        <v>1.3103448275862069</v>
      </c>
    </row>
    <row r="23" spans="1:11" ht="15" thickBot="1" x14ac:dyDescent="0.35">
      <c r="A23" s="6">
        <v>108</v>
      </c>
      <c r="B23" s="7" t="s">
        <v>19</v>
      </c>
      <c r="C23" s="7" t="s">
        <v>12</v>
      </c>
      <c r="D23" s="7">
        <v>28</v>
      </c>
      <c r="E23" s="7">
        <v>35</v>
      </c>
      <c r="F23" s="7">
        <v>65</v>
      </c>
      <c r="G23" s="9">
        <v>3</v>
      </c>
      <c r="H23" s="9">
        <f t="shared" si="3"/>
        <v>6.9642857142857144</v>
      </c>
      <c r="I23" s="9">
        <f t="shared" si="0"/>
        <v>0.7745966692414834</v>
      </c>
      <c r="J23" s="9">
        <f t="shared" si="1"/>
        <v>0.67648142520254606</v>
      </c>
      <c r="K23" s="9">
        <f t="shared" si="2"/>
        <v>1.25</v>
      </c>
    </row>
    <row r="24" spans="1:11" ht="15" thickBot="1" x14ac:dyDescent="0.35">
      <c r="A24" s="4">
        <v>121</v>
      </c>
      <c r="B24" s="5" t="s">
        <v>32</v>
      </c>
      <c r="C24" s="5" t="s">
        <v>16</v>
      </c>
      <c r="D24" s="5">
        <v>27</v>
      </c>
      <c r="E24" s="5">
        <v>34</v>
      </c>
      <c r="F24" s="5">
        <v>64</v>
      </c>
      <c r="G24" s="8">
        <v>2</v>
      </c>
      <c r="H24" s="8">
        <f t="shared" si="3"/>
        <v>4.7407407407407405</v>
      </c>
      <c r="I24" s="8">
        <f t="shared" si="0"/>
        <v>0</v>
      </c>
      <c r="J24" s="8">
        <f t="shared" si="1"/>
        <v>0</v>
      </c>
      <c r="K24" s="8">
        <f t="shared" si="2"/>
        <v>1.2592592592592593</v>
      </c>
    </row>
    <row r="25" spans="1:11" ht="15" thickBot="1" x14ac:dyDescent="0.35">
      <c r="A25" s="6">
        <v>116</v>
      </c>
      <c r="B25" s="7" t="s">
        <v>27</v>
      </c>
      <c r="C25" s="7" t="s">
        <v>16</v>
      </c>
      <c r="D25" s="7">
        <v>26</v>
      </c>
      <c r="E25" s="7">
        <v>32</v>
      </c>
      <c r="F25" s="7">
        <v>62</v>
      </c>
      <c r="G25" s="9">
        <v>2</v>
      </c>
      <c r="H25" s="9">
        <f t="shared" si="3"/>
        <v>4.7692307692307692</v>
      </c>
      <c r="I25" s="9">
        <f t="shared" si="0"/>
        <v>0</v>
      </c>
      <c r="J25" s="9">
        <f t="shared" si="1"/>
        <v>0</v>
      </c>
      <c r="K25" s="9">
        <f t="shared" si="2"/>
        <v>1.2307692307692308</v>
      </c>
    </row>
    <row r="26" spans="1:11" ht="15" thickBot="1" x14ac:dyDescent="0.35">
      <c r="A26" s="4">
        <v>105</v>
      </c>
      <c r="B26" s="5" t="s">
        <v>15</v>
      </c>
      <c r="C26" s="5" t="s">
        <v>16</v>
      </c>
      <c r="D26" s="5">
        <v>25</v>
      </c>
      <c r="E26" s="5">
        <v>30</v>
      </c>
      <c r="F26" s="5">
        <v>60</v>
      </c>
      <c r="G26" s="8">
        <v>2</v>
      </c>
      <c r="H26" s="8">
        <f t="shared" si="3"/>
        <v>4.8</v>
      </c>
      <c r="I26" s="8">
        <f t="shared" si="0"/>
        <v>0</v>
      </c>
      <c r="J26" s="8">
        <f t="shared" si="1"/>
        <v>0</v>
      </c>
      <c r="K26" s="8">
        <f t="shared" si="2"/>
        <v>1.2</v>
      </c>
    </row>
    <row r="27" spans="1:11" ht="15" thickBot="1" x14ac:dyDescent="0.35">
      <c r="H27" s="8"/>
    </row>
    <row r="28" spans="1:11" ht="15" thickBot="1" x14ac:dyDescent="0.35">
      <c r="H28" s="8"/>
    </row>
    <row r="29" spans="1:11" ht="15" thickBot="1" x14ac:dyDescent="0.35">
      <c r="H29" s="8"/>
    </row>
  </sheetData>
  <sortState xmlns:xlrd2="http://schemas.microsoft.com/office/spreadsheetml/2017/richdata2" ref="A2:G26">
    <sortCondition descending="1" ref="F2:F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Ahmed</dc:creator>
  <cp:lastModifiedBy>Taufiq Ahmed</cp:lastModifiedBy>
  <dcterms:created xsi:type="dcterms:W3CDTF">2025-12-27T11:55:49Z</dcterms:created>
  <dcterms:modified xsi:type="dcterms:W3CDTF">2025-12-27T12:34:16Z</dcterms:modified>
</cp:coreProperties>
</file>